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nphurd-my.sharepoint.com/personal/mmercedes_bnphu_gob_do/Documents/BNPHU/"/>
    </mc:Choice>
  </mc:AlternateContent>
  <xr:revisionPtr revIDLastSave="0" documentId="13_ncr:1_{637A1EF9-310C-40DD-972F-4F7CACB5F7AA}" xr6:coauthVersionLast="47" xr6:coauthVersionMax="47" xr10:uidLastSave="{00000000-0000-0000-0000-000000000000}"/>
  <bookViews>
    <workbookView xWindow="-120" yWindow="330" windowWidth="20730" windowHeight="11310" xr2:uid="{4640D80A-857E-4830-993A-840C024E79FE}"/>
  </bookViews>
  <sheets>
    <sheet name="Plantil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H28" i="1"/>
  <c r="H27" i="1"/>
  <c r="G23" i="1"/>
  <c r="F23" i="1"/>
  <c r="E23" i="1"/>
  <c r="C23" i="1"/>
</calcChain>
</file>

<file path=xl/sharedStrings.xml><?xml version="1.0" encoding="utf-8"?>
<sst xmlns="http://schemas.openxmlformats.org/spreadsheetml/2006/main" count="45" uniqueCount="34">
  <si>
    <t>Levantamiento de Servicios en Línea</t>
  </si>
  <si>
    <t>Información del Servicio</t>
  </si>
  <si>
    <t>Tipo de Servicio</t>
  </si>
  <si>
    <t>Item</t>
  </si>
  <si>
    <t>Institucion</t>
  </si>
  <si>
    <t>Nombre</t>
  </si>
  <si>
    <t>URL</t>
  </si>
  <si>
    <t>Informativo</t>
  </si>
  <si>
    <t>Formulario de solicitud/Consulta</t>
  </si>
  <si>
    <t>Transaccional</t>
  </si>
  <si>
    <t>Biblioteca Nacional Pedro Henríquez Ureña</t>
  </si>
  <si>
    <t>Referencia</t>
  </si>
  <si>
    <t>http://opac.bnphu.gob.do:8992/F</t>
  </si>
  <si>
    <t>Consulta catálogo bibliográfico</t>
  </si>
  <si>
    <t xml:space="preserve">http://opac.bnphu.gob.do:8992/F </t>
  </si>
  <si>
    <t>Servicio para personas con discapacidad</t>
  </si>
  <si>
    <t>http://bnphu.gob.do/disepedi</t>
  </si>
  <si>
    <t>Circulación y préstamo</t>
  </si>
  <si>
    <t>Hemeroteca</t>
  </si>
  <si>
    <t>https://www.bnphu.gob.do/servicios/hemeroteca</t>
  </si>
  <si>
    <t>Servicios especiales para investigadores</t>
  </si>
  <si>
    <t>https://www.bnphu.gob.do/servicios/servicios-especiales-para-investigadores</t>
  </si>
  <si>
    <t>International standard serial number (ISSN)</t>
  </si>
  <si>
    <t>https://www.bnphu.gob.do/solicitar-issn</t>
  </si>
  <si>
    <t>International standard book number (ISBN)</t>
  </si>
  <si>
    <t>https://www.bnphu.gob.do/servicios/international-standard-book-number-isbn</t>
  </si>
  <si>
    <t>Consulta biblioteca digital</t>
  </si>
  <si>
    <t>http://bibliotecadigital.bnphu.gob.do:8080/xmlui/</t>
  </si>
  <si>
    <t>Total de Servicios :</t>
  </si>
  <si>
    <t>FECHA LEVANTAMIENTO</t>
  </si>
  <si>
    <t>Desglose Servicios</t>
  </si>
  <si>
    <t>FECHA ULTIMA ACTUALIZACION</t>
  </si>
  <si>
    <t>Interactivo</t>
  </si>
  <si>
    <t>Sistema Transaccional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</si>
</sst>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>
    <font>
      <sz val="11"/>
      <color rgb="FF000000"/>
      <name val="Calibri"/>
    </font>
    <font>
      <sz val="18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8"/>
      <name val="Calibri"/>
      <family val="2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6FA8DC"/>
        <bgColor rgb="FF6FA8DC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9" fontId="6" fillId="2" borderId="0" xfId="0" applyNumberFormat="1" applyFont="1" applyFill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right"/>
    </xf>
    <xf numFmtId="164" fontId="0" fillId="0" borderId="0" xfId="0" applyNumberFormat="1"/>
    <xf numFmtId="0" fontId="5" fillId="5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vertical="top" wrapText="1"/>
    </xf>
    <xf numFmtId="0" fontId="5" fillId="5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/>
    <xf numFmtId="0" fontId="8" fillId="0" borderId="0" xfId="1" applyAlignment="1">
      <alignment horizontal="left"/>
    </xf>
    <xf numFmtId="0" fontId="8" fillId="0" borderId="0" xfId="1"/>
    <xf numFmtId="0" fontId="7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2" xfId="0" applyFont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ibliotecadigital.bnphu.gob.do:8080/xmlui/" TargetMode="External"/><Relationship Id="rId3" Type="http://schemas.openxmlformats.org/officeDocument/2006/relationships/hyperlink" Target="http://opac.bnphu.gob.do:8992/F" TargetMode="External"/><Relationship Id="rId7" Type="http://schemas.openxmlformats.org/officeDocument/2006/relationships/hyperlink" Target="https://www.bnphu.gob.do/servicios/international-standard-book-number-isbn" TargetMode="External"/><Relationship Id="rId2" Type="http://schemas.openxmlformats.org/officeDocument/2006/relationships/hyperlink" Target="http://opac.bnphu.gob.do:8992/F" TargetMode="External"/><Relationship Id="rId1" Type="http://schemas.openxmlformats.org/officeDocument/2006/relationships/hyperlink" Target="http://opac.bnphu.gob.do:8992/F" TargetMode="External"/><Relationship Id="rId6" Type="http://schemas.openxmlformats.org/officeDocument/2006/relationships/hyperlink" Target="https://www.bnphu.gob.do/solicitar-issn" TargetMode="External"/><Relationship Id="rId5" Type="http://schemas.openxmlformats.org/officeDocument/2006/relationships/hyperlink" Target="https://www.bnphu.gob.do/servicios/servicios-especiales-para-investigadore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bnphu.gob.do/servicios/hemeroteca" TargetMode="External"/><Relationship Id="rId9" Type="http://schemas.openxmlformats.org/officeDocument/2006/relationships/hyperlink" Target="http://bnphu.gob.do/disepe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A166-B202-462C-85C7-8E68B1209BC2}">
  <dimension ref="A1:M1003"/>
  <sheetViews>
    <sheetView tabSelected="1" topLeftCell="B1" zoomScale="90" zoomScaleNormal="90" workbookViewId="0">
      <pane ySplit="5" topLeftCell="A6" activePane="bottomLeft" state="frozen"/>
      <selection pane="bottomLeft" activeCell="E15" sqref="E15"/>
    </sheetView>
  </sheetViews>
  <sheetFormatPr defaultColWidth="14.42578125" defaultRowHeight="15" customHeight="1"/>
  <cols>
    <col min="1" max="1" width="6.7109375" customWidth="1"/>
    <col min="2" max="2" width="43.7109375" customWidth="1"/>
    <col min="3" max="3" width="44.28515625" customWidth="1"/>
    <col min="4" max="4" width="46.5703125" customWidth="1"/>
    <col min="5" max="5" width="11.42578125" bestFit="1" customWidth="1"/>
    <col min="6" max="6" width="30.42578125" bestFit="1" customWidth="1"/>
    <col min="7" max="7" width="20.7109375" customWidth="1"/>
    <col min="8" max="8" width="11.140625" customWidth="1"/>
    <col min="9" max="9" width="9.85546875" customWidth="1"/>
    <col min="10" max="11" width="11.7109375" customWidth="1"/>
    <col min="12" max="12" width="12.7109375" customWidth="1"/>
    <col min="13" max="13" width="12.85546875" bestFit="1" customWidth="1"/>
    <col min="14" max="14" width="11.42578125" customWidth="1"/>
    <col min="15" max="16" width="10.7109375" customWidth="1"/>
    <col min="17" max="17" width="13.5703125" customWidth="1"/>
    <col min="18" max="18" width="15.140625" customWidth="1"/>
    <col min="19" max="19" width="24" customWidth="1"/>
    <col min="20" max="20" width="15.85546875" customWidth="1"/>
    <col min="21" max="21" width="17.28515625" customWidth="1"/>
    <col min="22" max="22" width="14.85546875" customWidth="1"/>
    <col min="23" max="23" width="14.7109375" customWidth="1"/>
    <col min="24" max="25" width="15.85546875" customWidth="1"/>
    <col min="26" max="26" width="14.85546875" customWidth="1"/>
    <col min="27" max="27" width="15.85546875" customWidth="1"/>
    <col min="28" max="28" width="14.85546875" customWidth="1"/>
    <col min="29" max="29" width="14.7109375" customWidth="1"/>
    <col min="30" max="30" width="17.85546875" customWidth="1"/>
    <col min="31" max="31" width="13.5703125" customWidth="1"/>
    <col min="32" max="32" width="46.140625" customWidth="1"/>
    <col min="33" max="49" width="14.42578125" customWidth="1"/>
  </cols>
  <sheetData>
    <row r="1" spans="1:13" ht="23.25">
      <c r="A1" s="27" t="s">
        <v>0</v>
      </c>
      <c r="B1" s="27"/>
      <c r="C1" s="27"/>
      <c r="D1" s="27"/>
      <c r="E1" s="27"/>
      <c r="F1" s="27"/>
      <c r="G1" s="27"/>
    </row>
    <row r="4" spans="1:13" ht="23.25">
      <c r="A4" s="28" t="s">
        <v>1</v>
      </c>
      <c r="B4" s="29"/>
      <c r="C4" s="29"/>
      <c r="D4" s="30"/>
      <c r="E4" s="28" t="s">
        <v>2</v>
      </c>
      <c r="F4" s="29"/>
      <c r="G4" s="30"/>
      <c r="H4" s="24"/>
      <c r="I4" s="24"/>
      <c r="J4" s="24"/>
      <c r="K4" s="24"/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13">
      <c r="A6" s="2">
        <v>1</v>
      </c>
      <c r="B6" s="3" t="s">
        <v>10</v>
      </c>
      <c r="C6" s="4" t="s">
        <v>11</v>
      </c>
      <c r="D6" s="25" t="s">
        <v>12</v>
      </c>
      <c r="E6" s="6">
        <v>0</v>
      </c>
      <c r="F6" s="6">
        <v>1</v>
      </c>
      <c r="G6" s="6">
        <v>0</v>
      </c>
    </row>
    <row r="7" spans="1:13">
      <c r="A7" s="2">
        <v>2</v>
      </c>
      <c r="B7" s="3" t="s">
        <v>10</v>
      </c>
      <c r="C7" s="4" t="s">
        <v>13</v>
      </c>
      <c r="D7" s="26" t="s">
        <v>14</v>
      </c>
      <c r="E7" s="6">
        <v>0</v>
      </c>
      <c r="F7" s="6">
        <v>1</v>
      </c>
      <c r="G7" s="6">
        <v>1</v>
      </c>
      <c r="I7" s="17"/>
      <c r="J7" s="17"/>
      <c r="K7" s="17"/>
      <c r="L7" s="17"/>
      <c r="M7" s="17"/>
    </row>
    <row r="8" spans="1:13">
      <c r="A8" s="2">
        <v>3</v>
      </c>
      <c r="B8" s="3" t="s">
        <v>10</v>
      </c>
      <c r="C8" s="4" t="s">
        <v>15</v>
      </c>
      <c r="D8" s="25" t="s">
        <v>16</v>
      </c>
      <c r="E8" s="6">
        <v>0</v>
      </c>
      <c r="F8" s="6">
        <v>1</v>
      </c>
      <c r="G8" s="6">
        <v>0</v>
      </c>
      <c r="I8" s="17"/>
      <c r="J8" s="17"/>
      <c r="K8" s="17"/>
      <c r="L8" s="17"/>
      <c r="M8" s="17"/>
    </row>
    <row r="9" spans="1:13">
      <c r="A9" s="2">
        <v>4</v>
      </c>
      <c r="B9" s="3" t="s">
        <v>10</v>
      </c>
      <c r="C9" s="4" t="s">
        <v>17</v>
      </c>
      <c r="D9" s="25" t="s">
        <v>14</v>
      </c>
      <c r="E9" s="6">
        <v>0</v>
      </c>
      <c r="F9" s="6">
        <v>1</v>
      </c>
      <c r="G9" s="6">
        <v>0</v>
      </c>
      <c r="I9" s="17"/>
      <c r="J9" s="17"/>
      <c r="K9" s="17"/>
      <c r="L9" s="17"/>
      <c r="M9" s="17"/>
    </row>
    <row r="10" spans="1:13">
      <c r="A10" s="2">
        <v>5</v>
      </c>
      <c r="B10" s="3" t="s">
        <v>10</v>
      </c>
      <c r="C10" s="4" t="s">
        <v>18</v>
      </c>
      <c r="D10" s="26" t="s">
        <v>19</v>
      </c>
      <c r="E10" s="6">
        <v>1</v>
      </c>
      <c r="F10" s="6">
        <v>0</v>
      </c>
      <c r="G10" s="6">
        <v>0</v>
      </c>
      <c r="I10" s="17"/>
      <c r="J10" s="17"/>
      <c r="K10" s="17"/>
      <c r="L10" s="17"/>
      <c r="M10" s="17"/>
    </row>
    <row r="11" spans="1:13">
      <c r="A11" s="2">
        <v>6</v>
      </c>
      <c r="B11" s="3" t="s">
        <v>10</v>
      </c>
      <c r="C11" s="4" t="s">
        <v>20</v>
      </c>
      <c r="D11" s="26" t="s">
        <v>21</v>
      </c>
      <c r="E11" s="6">
        <v>1</v>
      </c>
      <c r="F11" s="6">
        <v>0</v>
      </c>
      <c r="G11" s="6">
        <v>0</v>
      </c>
      <c r="I11" s="17"/>
      <c r="J11" s="17"/>
      <c r="K11" s="17"/>
      <c r="L11" s="17"/>
      <c r="M11" s="17"/>
    </row>
    <row r="12" spans="1:13">
      <c r="A12" s="2">
        <v>7</v>
      </c>
      <c r="B12" s="3" t="s">
        <v>10</v>
      </c>
      <c r="C12" s="4" t="s">
        <v>22</v>
      </c>
      <c r="D12" s="26" t="s">
        <v>23</v>
      </c>
      <c r="E12" s="6">
        <v>0</v>
      </c>
      <c r="F12" s="6">
        <v>1</v>
      </c>
      <c r="G12" s="6">
        <v>1</v>
      </c>
    </row>
    <row r="13" spans="1:13">
      <c r="A13" s="2">
        <v>8</v>
      </c>
      <c r="B13" s="3" t="s">
        <v>10</v>
      </c>
      <c r="C13" s="4" t="s">
        <v>24</v>
      </c>
      <c r="D13" s="25" t="s">
        <v>25</v>
      </c>
      <c r="E13" s="6">
        <v>0</v>
      </c>
      <c r="F13" s="6">
        <v>1</v>
      </c>
      <c r="G13" s="6">
        <v>1</v>
      </c>
    </row>
    <row r="14" spans="1:13">
      <c r="A14" s="2">
        <v>9</v>
      </c>
      <c r="B14" s="3" t="s">
        <v>10</v>
      </c>
      <c r="C14" s="4" t="s">
        <v>26</v>
      </c>
      <c r="D14" s="26" t="s">
        <v>27</v>
      </c>
      <c r="E14" s="6">
        <v>0</v>
      </c>
      <c r="F14" s="6">
        <v>1</v>
      </c>
      <c r="G14" s="6">
        <v>1</v>
      </c>
    </row>
    <row r="15" spans="1:13">
      <c r="A15" s="2">
        <v>10</v>
      </c>
      <c r="B15" s="3"/>
      <c r="C15" s="4"/>
      <c r="D15" s="5"/>
      <c r="E15" s="6"/>
      <c r="F15" s="6"/>
      <c r="G15" s="6"/>
    </row>
    <row r="16" spans="1:13">
      <c r="A16" s="2">
        <v>11</v>
      </c>
      <c r="B16" s="3"/>
      <c r="C16" s="4"/>
      <c r="D16" s="5"/>
      <c r="E16" s="6"/>
      <c r="F16" s="6"/>
      <c r="G16" s="6"/>
    </row>
    <row r="17" spans="1:8">
      <c r="A17" s="2">
        <v>12</v>
      </c>
      <c r="B17" s="3"/>
      <c r="C17" s="4"/>
      <c r="D17" s="5"/>
      <c r="E17" s="6"/>
      <c r="F17" s="6"/>
      <c r="G17" s="6"/>
    </row>
    <row r="18" spans="1:8">
      <c r="A18" s="2">
        <v>13</v>
      </c>
      <c r="B18" s="3"/>
      <c r="C18" s="4"/>
      <c r="D18" s="5"/>
      <c r="E18" s="6"/>
      <c r="F18" s="6"/>
      <c r="G18" s="6"/>
    </row>
    <row r="19" spans="1:8">
      <c r="A19" s="2">
        <v>14</v>
      </c>
      <c r="B19" s="3"/>
      <c r="C19" s="4"/>
      <c r="D19" s="5"/>
      <c r="E19" s="6"/>
      <c r="F19" s="6"/>
      <c r="G19" s="6"/>
    </row>
    <row r="20" spans="1:8">
      <c r="A20" s="2">
        <v>15</v>
      </c>
      <c r="B20" s="3"/>
      <c r="C20" s="4"/>
      <c r="D20" s="5"/>
      <c r="E20" s="6"/>
      <c r="F20" s="6"/>
      <c r="G20" s="6"/>
    </row>
    <row r="21" spans="1:8">
      <c r="A21" s="2">
        <v>16</v>
      </c>
      <c r="B21" s="3"/>
      <c r="C21" s="4"/>
      <c r="D21" s="5"/>
      <c r="E21" s="6"/>
      <c r="F21" s="6"/>
      <c r="G21" s="6"/>
    </row>
    <row r="22" spans="1:8">
      <c r="E22" s="2"/>
      <c r="F22" s="2"/>
      <c r="G22" s="2"/>
    </row>
    <row r="23" spans="1:8">
      <c r="A23" s="7"/>
      <c r="B23" s="8" t="s">
        <v>28</v>
      </c>
      <c r="C23" s="9">
        <f>COUNTA(C6:C22)</f>
        <v>9</v>
      </c>
      <c r="D23" s="10"/>
      <c r="E23" s="11">
        <f t="shared" ref="E23:G23" si="0">AVERAGE(E6:E22)</f>
        <v>0.22222222222222221</v>
      </c>
      <c r="F23" s="11">
        <f t="shared" si="0"/>
        <v>0.77777777777777779</v>
      </c>
      <c r="G23" s="11">
        <f t="shared" si="0"/>
        <v>0.44444444444444442</v>
      </c>
    </row>
    <row r="24" spans="1:8" ht="15.75" customHeight="1"/>
    <row r="25" spans="1:8" ht="15.75" customHeight="1" thickBot="1"/>
    <row r="26" spans="1:8" ht="15.75" customHeight="1" thickBot="1">
      <c r="B26" s="12"/>
      <c r="C26" s="13" t="s">
        <v>29</v>
      </c>
      <c r="D26" s="14"/>
      <c r="G26" s="31" t="s">
        <v>30</v>
      </c>
      <c r="H26" s="32"/>
    </row>
    <row r="27" spans="1:8" ht="15.75" customHeight="1">
      <c r="C27" s="13" t="s">
        <v>31</v>
      </c>
      <c r="D27" s="14"/>
      <c r="G27" s="15" t="s">
        <v>7</v>
      </c>
      <c r="H27" s="16">
        <f>SUM(E6:E22)</f>
        <v>2</v>
      </c>
    </row>
    <row r="28" spans="1:8" ht="15.75" customHeight="1">
      <c r="G28" s="18" t="s">
        <v>32</v>
      </c>
      <c r="H28" s="19">
        <f>SUM(F6:F22)</f>
        <v>7</v>
      </c>
    </row>
    <row r="29" spans="1:8" ht="15.75" customHeight="1" thickBot="1">
      <c r="G29" s="20" t="s">
        <v>9</v>
      </c>
      <c r="H29" s="21">
        <f>SUM(G6:G22)</f>
        <v>4</v>
      </c>
    </row>
    <row r="30" spans="1:8" ht="15.75" customHeight="1" thickBot="1">
      <c r="G30" s="22" t="s">
        <v>33</v>
      </c>
      <c r="H30" s="23" t="e">
        <f>SUM(#REF!)</f>
        <v>#REF!</v>
      </c>
    </row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G1"/>
    <mergeCell ref="E4:G4"/>
    <mergeCell ref="A4:D4"/>
    <mergeCell ref="G26:H26"/>
  </mergeCells>
  <hyperlinks>
    <hyperlink ref="D6" r:id="rId1" xr:uid="{C44DAA34-1B05-4670-B990-5BBD9172CD5F}"/>
    <hyperlink ref="D7" r:id="rId2" xr:uid="{A8BDB256-9FA1-4288-B0DC-92BA2382F54E}"/>
    <hyperlink ref="D9" r:id="rId3" xr:uid="{437BE98A-D185-4EF3-AD0A-39CDBA662314}"/>
    <hyperlink ref="D10" r:id="rId4" xr:uid="{557669FA-7621-4711-854C-EA05460EDE4B}"/>
    <hyperlink ref="D11" r:id="rId5" xr:uid="{E5991E01-9269-499D-8B7C-22DEBB528C57}"/>
    <hyperlink ref="D12" r:id="rId6" xr:uid="{611AD5F5-2805-47B3-9049-3B929CF02B62}"/>
    <hyperlink ref="D13" r:id="rId7" xr:uid="{4005662B-6133-4962-BE65-1F11F631795E}"/>
    <hyperlink ref="D14" r:id="rId8" xr:uid="{6EF60EF8-14C1-4B29-8F91-A22F8570B1DF}"/>
    <hyperlink ref="D8" r:id="rId9" xr:uid="{A6CB8D74-7A43-4F47-A842-1E1403619806}"/>
  </hyperlinks>
  <pageMargins left="0.7" right="0.7" top="0.75" bottom="0.75" header="0" footer="0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68B0138C0B5743A8A1F02D6E09673C" ma:contentTypeVersion="9" ma:contentTypeDescription="Create a new document." ma:contentTypeScope="" ma:versionID="0eb69be3edf7805ed3fa7e922748f73d">
  <xsd:schema xmlns:xsd="http://www.w3.org/2001/XMLSchema" xmlns:xs="http://www.w3.org/2001/XMLSchema" xmlns:p="http://schemas.microsoft.com/office/2006/metadata/properties" xmlns:ns3="2c174133-a2b1-4fee-8cd7-fe4039fe8b71" xmlns:ns4="83187c06-1706-4c86-b23a-53d4b8c9ddc3" targetNamespace="http://schemas.microsoft.com/office/2006/metadata/properties" ma:root="true" ma:fieldsID="57195d028dce11752636a050b696d811" ns3:_="" ns4:_="">
    <xsd:import namespace="2c174133-a2b1-4fee-8cd7-fe4039fe8b71"/>
    <xsd:import namespace="83187c06-1706-4c86-b23a-53d4b8c9dd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174133-a2b1-4fee-8cd7-fe4039fe8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7c06-1706-4c86-b23a-53d4b8c9d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F244CD-8485-494A-806D-390147B010D7}"/>
</file>

<file path=customXml/itemProps2.xml><?xml version="1.0" encoding="utf-8"?>
<ds:datastoreItem xmlns:ds="http://schemas.openxmlformats.org/officeDocument/2006/customXml" ds:itemID="{7874FDFB-909E-4388-A37B-24710326B03D}"/>
</file>

<file path=customXml/itemProps3.xml><?xml version="1.0" encoding="utf-8"?>
<ds:datastoreItem xmlns:ds="http://schemas.openxmlformats.org/officeDocument/2006/customXml" ds:itemID="{EDAA5F91-4184-4FFA-A540-663D86B10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Ventura</dc:creator>
  <cp:keywords/>
  <dc:description/>
  <cp:lastModifiedBy>Arless Matos</cp:lastModifiedBy>
  <cp:revision/>
  <dcterms:created xsi:type="dcterms:W3CDTF">2019-12-12T18:47:07Z</dcterms:created>
  <dcterms:modified xsi:type="dcterms:W3CDTF">2025-11-24T15:30:11Z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0x0101006368B0138C0B5743A8A1F02D6E09673C</vt:lpwstr>
  </property>
</Properties>
</file>