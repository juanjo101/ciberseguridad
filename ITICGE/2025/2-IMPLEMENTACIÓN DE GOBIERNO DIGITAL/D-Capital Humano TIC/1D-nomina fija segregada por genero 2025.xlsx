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ppina\Desktop\SOLICITUD TIC\"/>
    </mc:Choice>
  </mc:AlternateContent>
  <xr:revisionPtr revIDLastSave="0" documentId="13_ncr:1_{DF59380C-76E0-4109-AD99-7E9F8386C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licitud de Documentos Para Ev" sheetId="4" r:id="rId1"/>
    <sheet name="FIJO OCTUBRE 2025" sheetId="1" r:id="rId2"/>
    <sheet name="NÓMINA PERSONAL CARÁCTER TEMPOR" sheetId="2" r:id="rId3"/>
  </sheets>
  <definedNames>
    <definedName name="_xlnm.Print_Area" localSheetId="1">'FIJO OCTUBRE 2025'!$A$1:$F$325</definedName>
    <definedName name="_xlnm.Print_Titles" localSheetId="1">'FIJO OCTUBRE 2025'!$7:$8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6" i="1" l="1"/>
  <c r="C326" i="1"/>
  <c r="C21" i="1"/>
  <c r="F21" i="1"/>
  <c r="F84" i="2"/>
  <c r="C84" i="2"/>
  <c r="F79" i="2"/>
  <c r="C79" i="2"/>
  <c r="F74" i="2"/>
  <c r="C74" i="2"/>
  <c r="F70" i="2"/>
  <c r="C70" i="2"/>
  <c r="F66" i="2"/>
  <c r="C66" i="2"/>
  <c r="F62" i="2"/>
  <c r="F58" i="2"/>
  <c r="C58" i="2"/>
  <c r="C62" i="2" s="1"/>
  <c r="F54" i="2"/>
  <c r="C54" i="2"/>
  <c r="F50" i="2"/>
  <c r="C50" i="2"/>
  <c r="F46" i="2"/>
  <c r="C46" i="2"/>
  <c r="F42" i="2"/>
  <c r="C42" i="2"/>
  <c r="F38" i="2"/>
  <c r="C38" i="2"/>
  <c r="F33" i="2"/>
  <c r="C33" i="2"/>
  <c r="F26" i="2"/>
  <c r="C26" i="2"/>
  <c r="F22" i="2"/>
  <c r="C22" i="2"/>
  <c r="F18" i="2"/>
  <c r="C18" i="2"/>
  <c r="F12" i="2"/>
  <c r="C12" i="2"/>
  <c r="F236" i="1" l="1"/>
  <c r="C236" i="1"/>
  <c r="C132" i="1"/>
  <c r="F132" i="1"/>
  <c r="C60" i="1"/>
  <c r="F244" i="1"/>
  <c r="F207" i="1"/>
  <c r="C207" i="1"/>
  <c r="F261" i="1"/>
  <c r="C261" i="1"/>
  <c r="F157" i="1"/>
  <c r="C157" i="1"/>
  <c r="F320" i="1"/>
  <c r="C320" i="1"/>
  <c r="C41" i="1" l="1"/>
  <c r="F41" i="1"/>
  <c r="F49" i="1" l="1"/>
  <c r="F307" i="1"/>
  <c r="C307" i="1"/>
  <c r="F190" i="1"/>
  <c r="F147" i="1" l="1"/>
  <c r="C147" i="1" l="1"/>
  <c r="C70" i="1"/>
  <c r="F70" i="1"/>
  <c r="F173" i="1" l="1"/>
  <c r="C173" i="1"/>
  <c r="F277" i="1" l="1"/>
  <c r="F289" i="1"/>
  <c r="C289" i="1" l="1"/>
  <c r="C244" i="1"/>
  <c r="C277" i="1" l="1"/>
  <c r="C217" i="1"/>
  <c r="C254" i="1"/>
  <c r="F311" i="1" l="1"/>
  <c r="C311" i="1"/>
  <c r="F254" i="1"/>
  <c r="F217" i="1"/>
  <c r="F211" i="1"/>
  <c r="C211" i="1"/>
  <c r="F196" i="1"/>
  <c r="C196" i="1"/>
  <c r="C190" i="1"/>
  <c r="F177" i="1"/>
  <c r="C177" i="1"/>
  <c r="F166" i="1"/>
  <c r="C166" i="1"/>
  <c r="F162" i="1"/>
  <c r="C162" i="1"/>
  <c r="F139" i="1"/>
  <c r="C139" i="1"/>
  <c r="F105" i="1"/>
  <c r="C105" i="1"/>
  <c r="F100" i="1"/>
  <c r="C100" i="1"/>
  <c r="F90" i="1"/>
  <c r="C90" i="1"/>
  <c r="F84" i="1"/>
  <c r="F75" i="1"/>
  <c r="F60" i="1"/>
  <c r="C49" i="1"/>
  <c r="F34" i="1"/>
  <c r="C34" i="1"/>
  <c r="F28" i="1"/>
  <c r="C28" i="1"/>
</calcChain>
</file>

<file path=xl/sharedStrings.xml><?xml version="1.0" encoding="utf-8"?>
<sst xmlns="http://schemas.openxmlformats.org/spreadsheetml/2006/main" count="1205" uniqueCount="489">
  <si>
    <t>Solicitud de Documentos Para Evidencias ITICGE</t>
  </si>
  <si>
    <t>1 D - ¿Cuál es el total de empleados fijos de su institución segregados por sexo? </t>
  </si>
  <si>
    <t>2 D - ¿Cuántos empleados han sido capacitados en TIC en los últimos 12 meses en la institución completa?</t>
  </si>
  <si>
    <t>D -¿Se establecen programas de capacitación continua para el personal del departamento de TIC y personal de otras áreas que hagan uso de las tecnologías? </t>
  </si>
  <si>
    <t>4 D - ¿Cuántos empleados de la institución tienen acceso a la Internet? </t>
  </si>
  <si>
    <t>5 D - Del 10% de sus empleados fijos con el mejor salario </t>
  </si>
  <si>
    <r>
      <rPr>
        <b/>
        <sz val="12"/>
        <color theme="1"/>
        <rFont val="Aptos"/>
        <family val="2"/>
      </rPr>
      <t>9 D -</t>
    </r>
    <r>
      <rPr>
        <b/>
        <sz val="12"/>
        <color theme="1"/>
        <rFont val="Arial"/>
        <family val="2"/>
      </rPr>
      <t> </t>
    </r>
    <r>
      <rPr>
        <b/>
        <sz val="12"/>
        <color theme="1"/>
        <rFont val="Aptos"/>
        <family val="2"/>
      </rPr>
      <t>¿Cuántos empleados en total tiene el departamento de TI? Favor de indicar cantidad en las posiciones sugeridas a continuación </t>
    </r>
  </si>
  <si>
    <t>FEMENINO</t>
  </si>
  <si>
    <t xml:space="preserve">MASCULINO </t>
  </si>
  <si>
    <t xml:space="preserve">Nombre y Apellido </t>
  </si>
  <si>
    <t xml:space="preserve">Funciones </t>
  </si>
  <si>
    <t xml:space="preserve">Tipo Empleado </t>
  </si>
  <si>
    <t>Genero</t>
  </si>
  <si>
    <t>Sueldo Bruto</t>
  </si>
  <si>
    <t>ARLESS VIOLETA MATOS REYES</t>
  </si>
  <si>
    <t xml:space="preserve">FIJO </t>
  </si>
  <si>
    <t xml:space="preserve">CELIDA COINTA ALVÁREZ ARMENTERO </t>
  </si>
  <si>
    <t xml:space="preserve">DIRECTOR (A) TÉCNICA BIBLIOTELOGÍA </t>
  </si>
  <si>
    <t>FIJO</t>
  </si>
  <si>
    <t>F</t>
  </si>
  <si>
    <t xml:space="preserve">JUAN JOSE DIAZ NERIO </t>
  </si>
  <si>
    <t>NILCIA AURORA GARCIA GALVAN</t>
  </si>
  <si>
    <t>ASESOR (A) RELACIÓN GUB. Y ADM.</t>
  </si>
  <si>
    <t xml:space="preserve">HALLKING QUESADA MEDINA </t>
  </si>
  <si>
    <t xml:space="preserve"> CONTRATADO </t>
  </si>
  <si>
    <t xml:space="preserve">DENIS ENRIQUEZ MOTA ALVÁREZ </t>
  </si>
  <si>
    <t xml:space="preserve">ASESOR </t>
  </si>
  <si>
    <t xml:space="preserve">M </t>
  </si>
  <si>
    <t>JESUS CARLOS PERALTA</t>
  </si>
  <si>
    <t xml:space="preserve">ÁNGEL RAMON SABA CABRAL </t>
  </si>
  <si>
    <t>ENCARGADO (A)</t>
  </si>
  <si>
    <t>M</t>
  </si>
  <si>
    <t>JORGE APOLINAR PEREZ PEREZ</t>
  </si>
  <si>
    <t>TOTAL: 117</t>
  </si>
  <si>
    <t>TOTAL: 82</t>
  </si>
  <si>
    <t xml:space="preserve">CARRERA ADMINISTRATIVA </t>
  </si>
  <si>
    <t>TOTAL:  5</t>
  </si>
  <si>
    <t xml:space="preserve">JUANA HEREDIA MARTÍNEZ </t>
  </si>
  <si>
    <t xml:space="preserve">JUAN FRANCISCO MORENO MEJÍA </t>
  </si>
  <si>
    <t xml:space="preserve">LAURA BONILLA PÉREZ </t>
  </si>
  <si>
    <t xml:space="preserve">GLENNYS REYES TAPIA </t>
  </si>
  <si>
    <t xml:space="preserve">LORENZA M. RIVERA ALCÁNTARA </t>
  </si>
  <si>
    <t>BIBLIOTECA NACIONAL PEDRO HENRIQUEZ UREÑA</t>
  </si>
  <si>
    <t xml:space="preserve">NÓMINA COMPLETA </t>
  </si>
  <si>
    <t>COD.</t>
  </si>
  <si>
    <t>DIRECCIÓN NACIONAL</t>
  </si>
  <si>
    <t>1</t>
  </si>
  <si>
    <t xml:space="preserve">RAFAEL PERALTA ROMERO </t>
  </si>
  <si>
    <t>DIRECTOR GENERAL</t>
  </si>
  <si>
    <t>DEL LIBRE REMOSIÓN Y NOMBRAMIENTO</t>
  </si>
  <si>
    <t>2</t>
  </si>
  <si>
    <t>3</t>
  </si>
  <si>
    <t>ANGEL VLADIMIR FERNANDEZ ESPINOSA</t>
  </si>
  <si>
    <t>AUXILIAR ADMINISTRATIVO (A)</t>
  </si>
  <si>
    <t xml:space="preserve">ESTATUS SIMPLIFICADO </t>
  </si>
  <si>
    <t>4</t>
  </si>
  <si>
    <t xml:space="preserve">LORENZO GARCÍA </t>
  </si>
  <si>
    <t>CHOFER II</t>
  </si>
  <si>
    <t>5</t>
  </si>
  <si>
    <t>DANIEL CASTILLO DIAZ</t>
  </si>
  <si>
    <t>CAMARERO</t>
  </si>
  <si>
    <t>6</t>
  </si>
  <si>
    <t>ALFREDO JUNIOR ROQUE VARGAS</t>
  </si>
  <si>
    <t>MENSAJERO INTERNO</t>
  </si>
  <si>
    <t>ESTATUS SIMPLIFICADO</t>
  </si>
  <si>
    <t>7</t>
  </si>
  <si>
    <t xml:space="preserve">MILTON SANTIAGO PEÑA DE LA CRUZ </t>
  </si>
  <si>
    <t xml:space="preserve">COORDINADOR DESPACHO </t>
  </si>
  <si>
    <t>8</t>
  </si>
  <si>
    <t>9</t>
  </si>
  <si>
    <t xml:space="preserve">ROSAURA ALTAGRACIA BRITO MORILLO </t>
  </si>
  <si>
    <t xml:space="preserve">ASISTENTE </t>
  </si>
  <si>
    <t>10</t>
  </si>
  <si>
    <t xml:space="preserve">JESSICA ROSABEL BELLIARD IÑIGUEZ </t>
  </si>
  <si>
    <t>11</t>
  </si>
  <si>
    <t xml:space="preserve">AMARILIS MÉNDEZ </t>
  </si>
  <si>
    <t xml:space="preserve">ARCHIVISTA </t>
  </si>
  <si>
    <t xml:space="preserve">DEPARTAMENTO JURÍDICO </t>
  </si>
  <si>
    <t xml:space="preserve">OSCAR MANUEL HERASME MATOS </t>
  </si>
  <si>
    <t>CARACTER TEMPORAL</t>
  </si>
  <si>
    <t xml:space="preserve">NACHY ALBANIA VARGAS DURÁN </t>
  </si>
  <si>
    <t>ANALISTA LEGAL</t>
  </si>
  <si>
    <t>LINDA CASTILLO RODRÍGUEZ DE JULIAN</t>
  </si>
  <si>
    <t xml:space="preserve">ANLLEYELINE CASTRO ALMONTE </t>
  </si>
  <si>
    <t>SECRETARIA</t>
  </si>
  <si>
    <t xml:space="preserve">OFICINA DE ACCESO A LA INFORMACIÓN </t>
  </si>
  <si>
    <t xml:space="preserve">MARTIN ANTONIO SALDÍVAR ABREU </t>
  </si>
  <si>
    <t xml:space="preserve">JOMANCY MONI MOTA </t>
  </si>
  <si>
    <t xml:space="preserve">SECRETARIA </t>
  </si>
  <si>
    <t xml:space="preserve">DIVISIÓN DE PROTOCOLO Y EVENTOS </t>
  </si>
  <si>
    <t>707</t>
  </si>
  <si>
    <t xml:space="preserve">MARÍA DEL MAR GARCÍA COLOMBO </t>
  </si>
  <si>
    <t>594</t>
  </si>
  <si>
    <t xml:space="preserve">MÁXIMO STANLEY MEJÍA SÁNCHEZ </t>
  </si>
  <si>
    <t>TÉCNICO SONIDO</t>
  </si>
  <si>
    <t>T12</t>
  </si>
  <si>
    <t xml:space="preserve">JOSANNY MONI MOTA </t>
  </si>
  <si>
    <t>785</t>
  </si>
  <si>
    <t>AMMI VASQUEZ HERNANDEZ</t>
  </si>
  <si>
    <t>DIVISIÓN DE RELACIONES INTERINSTITUCIONALES</t>
  </si>
  <si>
    <t>T14</t>
  </si>
  <si>
    <t xml:space="preserve">GIANNA MARÍA PERALTA CASTRO </t>
  </si>
  <si>
    <t>772</t>
  </si>
  <si>
    <t>ISABEL DECAMPS LIZARDO</t>
  </si>
  <si>
    <t>742</t>
  </si>
  <si>
    <t>BRISMEL A. GONZALEZ MARTÍNEZ</t>
  </si>
  <si>
    <t xml:space="preserve">DEPARTAMENTO DE RECURSOS HUMANOS </t>
  </si>
  <si>
    <t>CLAUDINO SOSA MENA</t>
  </si>
  <si>
    <t xml:space="preserve">PAMELA ALCÁNTARA PIÑA </t>
  </si>
  <si>
    <t>ANALISTA DE COMP. Y BENEFICIOS</t>
  </si>
  <si>
    <t xml:space="preserve">LIN MASSIEL ABREU RIVAS </t>
  </si>
  <si>
    <t>ANALISTA DE RECURSOS HUMANOS</t>
  </si>
  <si>
    <t>LILIANA ELIZABETH LACEN LOPEZ</t>
  </si>
  <si>
    <t>ANALISTA DE CAP. Y DESARROLLO</t>
  </si>
  <si>
    <t xml:space="preserve">FRANCHESCA ALT. MOSCAT GONZALEZ </t>
  </si>
  <si>
    <t xml:space="preserve">ANALISTA DE RECURSOS HUMANOS </t>
  </si>
  <si>
    <t xml:space="preserve">JOSELIN ALTAGRACIA REYES </t>
  </si>
  <si>
    <t xml:space="preserve">AMALIA MORILLO MÉNDEZ </t>
  </si>
  <si>
    <t>TÉCNICO EN ENFERMERIA</t>
  </si>
  <si>
    <t xml:space="preserve">ARI ESMERALDA CEBALLO ANDÚJAR </t>
  </si>
  <si>
    <t xml:space="preserve">RECEPCIONISTA </t>
  </si>
  <si>
    <t xml:space="preserve">DEPARTAMENTO DE COMUNICACIÓN </t>
  </si>
  <si>
    <t xml:space="preserve">RAFAEL DARIO BELISARIO DURÁN </t>
  </si>
  <si>
    <t>MARÍA ALT. Y FERRAND RODRÍGUEZ</t>
  </si>
  <si>
    <t xml:space="preserve">PERIODISTA </t>
  </si>
  <si>
    <t xml:space="preserve">YISELI VILLALONA SÁNCHEZ </t>
  </si>
  <si>
    <t>ATAHUALPA SÁNCHEZ</t>
  </si>
  <si>
    <t xml:space="preserve">DISEÑADOR GRÁFICO </t>
  </si>
  <si>
    <t>KELVIN  AMAURIS ORTÍZ CASTILLO</t>
  </si>
  <si>
    <t xml:space="preserve">REYNO CESPEDES CARO </t>
  </si>
  <si>
    <t>FOTÓGRAFO</t>
  </si>
  <si>
    <t>ELIANNY JAZMIN GONZALEZ LORA</t>
  </si>
  <si>
    <t>GESTOR DE REDES SOCIALES</t>
  </si>
  <si>
    <t xml:space="preserve">DIVISIÓN DE PUBLICACIONES </t>
  </si>
  <si>
    <t xml:space="preserve">LEIBIANNA CRISTINA NG BÁEZ </t>
  </si>
  <si>
    <t xml:space="preserve">CARMEN ROSA ESTRADA PAULINO </t>
  </si>
  <si>
    <t xml:space="preserve">CORRECTOR (A) DE ESTILO </t>
  </si>
  <si>
    <t xml:space="preserve">DEPARTAMENTO ADMINISTRATIVO  FINANCIERO </t>
  </si>
  <si>
    <t xml:space="preserve">EDWIN RAFAEL TEJEDA CIPRIÁN </t>
  </si>
  <si>
    <t>MIGUEL ALEXANDER ALONSO JIMENEZ</t>
  </si>
  <si>
    <t xml:space="preserve">HEYDI JIMENÉZ ALEMAN </t>
  </si>
  <si>
    <t xml:space="preserve">NANCY MARGARITA NUÑEZ JIMENÉZ </t>
  </si>
  <si>
    <t xml:space="preserve">FIJO  </t>
  </si>
  <si>
    <t xml:space="preserve">DIONISIA MERCEDES SÁNCHEZ </t>
  </si>
  <si>
    <t xml:space="preserve">MERCEDES TAVERAS BURGOS </t>
  </si>
  <si>
    <t>MENSAJERO INTERNO (A)</t>
  </si>
  <si>
    <t xml:space="preserve">DIVISIÓN DE CONTABILIDAD </t>
  </si>
  <si>
    <t>T22</t>
  </si>
  <si>
    <t xml:space="preserve">MIOSOTY MARINE DÍAZ PIMENTEL </t>
  </si>
  <si>
    <t>ANALISTA FINANCIERO (A)</t>
  </si>
  <si>
    <t>018</t>
  </si>
  <si>
    <t>ELIZABETH FRANCHESCA BAEZ MATOS</t>
  </si>
  <si>
    <t>TECNICO COMTABILIDAD</t>
  </si>
  <si>
    <t xml:space="preserve">DIVISIÓN DE ALMACÉN Y SUMINISTRO </t>
  </si>
  <si>
    <t>259</t>
  </si>
  <si>
    <t xml:space="preserve">JOSE HUMBERTO REYNOSO OVALLE </t>
  </si>
  <si>
    <t>070</t>
  </si>
  <si>
    <t xml:space="preserve">JULISSA CRISTINA SALAZAR MORALES </t>
  </si>
  <si>
    <t xml:space="preserve">ANALISTA ACTIVO FIJO </t>
  </si>
  <si>
    <t>738</t>
  </si>
  <si>
    <t xml:space="preserve">EDUARDO MISAEL BRITO MORILLO </t>
  </si>
  <si>
    <t xml:space="preserve">AUXILIAR ALMACEN Y SUMINISTRO </t>
  </si>
  <si>
    <t xml:space="preserve">DIVISIÓN DE COMPRAS Y CONTRATACIONES </t>
  </si>
  <si>
    <t>T4</t>
  </si>
  <si>
    <t xml:space="preserve">CRISTIAN JOSE BARRERAS MANZUETA </t>
  </si>
  <si>
    <t>674</t>
  </si>
  <si>
    <t xml:space="preserve">ROSA MARIA JAIME CONCEPCIÓN </t>
  </si>
  <si>
    <t xml:space="preserve">TÉCNICO DE COMPRAS </t>
  </si>
  <si>
    <t xml:space="preserve">F </t>
  </si>
  <si>
    <t xml:space="preserve">DIVISIÓN DE SERVICIOS GENERALES </t>
  </si>
  <si>
    <t>T29</t>
  </si>
  <si>
    <t xml:space="preserve">ANDRÉS DAVID PATIÑO MATOS </t>
  </si>
  <si>
    <t>310</t>
  </si>
  <si>
    <t xml:space="preserve">YOVANNY NUÑEZ </t>
  </si>
  <si>
    <t xml:space="preserve">SUPERVISOR MAYORDOMIA </t>
  </si>
  <si>
    <t>695</t>
  </si>
  <si>
    <t xml:space="preserve">VIRGILIO REYES RODRÍGUEZ </t>
  </si>
  <si>
    <t xml:space="preserve">SUPERVISOR TRANSPORTACIÓN </t>
  </si>
  <si>
    <t>743</t>
  </si>
  <si>
    <t>JENNIFER A. GUTIÉRREZ DE LOS SANTOS</t>
  </si>
  <si>
    <t>729</t>
  </si>
  <si>
    <t xml:space="preserve">ERIBERTO ABREU </t>
  </si>
  <si>
    <t xml:space="preserve">AYUDANTE DE MANTENIMIENTO </t>
  </si>
  <si>
    <t>711</t>
  </si>
  <si>
    <t xml:space="preserve">MIGUEL ANIBAL JÍMENEZ PEÑA </t>
  </si>
  <si>
    <t>728</t>
  </si>
  <si>
    <t xml:space="preserve">VICTOR FRANCISCO RONDÓN DE LA CRUZ </t>
  </si>
  <si>
    <t>718</t>
  </si>
  <si>
    <t xml:space="preserve">REYNALDO ANTONIO DE AZA ROSARIO </t>
  </si>
  <si>
    <t>704</t>
  </si>
  <si>
    <t>JUAN CARLOS ROSARIO VILORIO</t>
  </si>
  <si>
    <t>ELECTRICISTA</t>
  </si>
  <si>
    <t>591</t>
  </si>
  <si>
    <t xml:space="preserve">MARINA DECENA AMPARO </t>
  </si>
  <si>
    <t xml:space="preserve">CONSERJE </t>
  </si>
  <si>
    <t>085</t>
  </si>
  <si>
    <t xml:space="preserve">CRISTOBALINA SÁNCHEZ </t>
  </si>
  <si>
    <t>095</t>
  </si>
  <si>
    <t xml:space="preserve">OSTACIA LACEN ESPINAL </t>
  </si>
  <si>
    <t>671</t>
  </si>
  <si>
    <t xml:space="preserve">BETHANIA PERALTA MARTÍNEZ </t>
  </si>
  <si>
    <t>715</t>
  </si>
  <si>
    <t xml:space="preserve">MARÍA TRINIDAD </t>
  </si>
  <si>
    <t xml:space="preserve">OLGA AMPARO GARCÍA </t>
  </si>
  <si>
    <t xml:space="preserve">FRANCY COMPRES MATOS </t>
  </si>
  <si>
    <t>GEYKOL JOSUE FIGUEROA DE
 LA CRUZ</t>
  </si>
  <si>
    <t xml:space="preserve">YASIRIS VALDEZ GREGORIO </t>
  </si>
  <si>
    <t>ADELA ISABEL PEREZ LEYBA</t>
  </si>
  <si>
    <t>YORDANIA FCA. CABRERA CABREJA</t>
  </si>
  <si>
    <t>LILIANA MERCEDES ALCANTARA UBRI</t>
  </si>
  <si>
    <t>JADAUT ADDY BELLO ROMERO</t>
  </si>
  <si>
    <t>JULIO ERNESTO STEPHAN</t>
  </si>
  <si>
    <t xml:space="preserve">DILEYSSI ROMERO LUCIANO </t>
  </si>
  <si>
    <t>CHOFER I</t>
  </si>
  <si>
    <t>DIVISION DE ARCHIVO Y CORRESPONDENCIA</t>
  </si>
  <si>
    <t>363</t>
  </si>
  <si>
    <t xml:space="preserve">MIRIAN HERIDANIA PERALTA CHECO </t>
  </si>
  <si>
    <t>ENC. SECCION CORRESPONDENCIA</t>
  </si>
  <si>
    <t>214</t>
  </si>
  <si>
    <t xml:space="preserve">JORGE CEPEDA </t>
  </si>
  <si>
    <t xml:space="preserve">MENSAJERO EXTERNO </t>
  </si>
  <si>
    <t>710</t>
  </si>
  <si>
    <t xml:space="preserve">CELSO MÉNDEZ DÍAZ </t>
  </si>
  <si>
    <t>247</t>
  </si>
  <si>
    <t xml:space="preserve">NELSON NIVAR ALMÁNZAR </t>
  </si>
  <si>
    <t xml:space="preserve">DEPARTAMENTO DE TÉCNOLOGIAS DE LA INFORMACIÓN Y COMUNICACIÓN </t>
  </si>
  <si>
    <t>T31</t>
  </si>
  <si>
    <t xml:space="preserve">ADM.DE SISTEMAS DE GESTION </t>
  </si>
  <si>
    <t>687</t>
  </si>
  <si>
    <t>779</t>
  </si>
  <si>
    <t xml:space="preserve">TÉCNICO EN PROGRAMACIÓN </t>
  </si>
  <si>
    <t>754</t>
  </si>
  <si>
    <t>SOPORTE TECNICO INFORMATICO</t>
  </si>
  <si>
    <t>783</t>
  </si>
  <si>
    <t xml:space="preserve">DEPARTAMENTO DE SEGURIDAD </t>
  </si>
  <si>
    <t>574</t>
  </si>
  <si>
    <t xml:space="preserve">JUAN ÁVILA CIPRIAN </t>
  </si>
  <si>
    <t xml:space="preserve">VIGILANTE </t>
  </si>
  <si>
    <t>593</t>
  </si>
  <si>
    <t>SONIA BELTRE</t>
  </si>
  <si>
    <t>400</t>
  </si>
  <si>
    <t xml:space="preserve">EDISON ACOSTA ROSA </t>
  </si>
  <si>
    <t>355</t>
  </si>
  <si>
    <t xml:space="preserve">JOSE MANUEL GARCÍA </t>
  </si>
  <si>
    <t>660</t>
  </si>
  <si>
    <t>ALEJANDRO JAVIER GERMAN</t>
  </si>
  <si>
    <t>771</t>
  </si>
  <si>
    <t>JORGE TAVERAS LORA</t>
  </si>
  <si>
    <t>789</t>
  </si>
  <si>
    <t>JACINTO GOMEZ</t>
  </si>
  <si>
    <t xml:space="preserve">DIRECCIÓN TÉCNICA BIBLIOTECOLOGÍA </t>
  </si>
  <si>
    <t>338</t>
  </si>
  <si>
    <t>075</t>
  </si>
  <si>
    <t xml:space="preserve">MARIA ESTHER ABREU DÍAZ </t>
  </si>
  <si>
    <t xml:space="preserve">DEPARTAMENTO DE PRODUCCIÓN DIGITAL Y SISTEMA DE GESTIÓN BIBLIOTECARIA </t>
  </si>
  <si>
    <t>064</t>
  </si>
  <si>
    <t xml:space="preserve">DIVISIÓN DE DIGITALIZACIÓN DOCUMENTAL </t>
  </si>
  <si>
    <t>079</t>
  </si>
  <si>
    <t>YARI MARIEL MATOS BENITEZ</t>
  </si>
  <si>
    <t>329</t>
  </si>
  <si>
    <t xml:space="preserve">MARCO ANTONIO MANZUETA MARTÍNEZ </t>
  </si>
  <si>
    <t>TECN. DIGITALIZACION DOCUMENTAL</t>
  </si>
  <si>
    <t>330</t>
  </si>
  <si>
    <t xml:space="preserve">HITLER ALEXANDER LEDESMA NOVAS </t>
  </si>
  <si>
    <t>041</t>
  </si>
  <si>
    <t xml:space="preserve">MARIANNE LINA FELIZ RAMÍREZ </t>
  </si>
  <si>
    <t xml:space="preserve">DEPARTAMENTO DE PRESERVACIÓN Y CONSERVACIÓN DE DOCUMENTOS </t>
  </si>
  <si>
    <t>071</t>
  </si>
  <si>
    <t xml:space="preserve">DIVISIÓN DE LABORATORIO PARA LA  PRESERVACIÓN DOCUMENTAL </t>
  </si>
  <si>
    <t>215</t>
  </si>
  <si>
    <t xml:space="preserve">TERESA MARINA BODDEN </t>
  </si>
  <si>
    <t>334</t>
  </si>
  <si>
    <t xml:space="preserve">GREGORIO ARIDIO ALMÁNZAR SAVIÑON </t>
  </si>
  <si>
    <t>AUXILIAR DE LIMPIEZA DOCUMENTAL</t>
  </si>
  <si>
    <t>604</t>
  </si>
  <si>
    <t xml:space="preserve">RAMON ANTONIO ENCARNACIÓN </t>
  </si>
  <si>
    <t>553</t>
  </si>
  <si>
    <t xml:space="preserve">WILFREDO QUIQUE LECLER ORTIZ </t>
  </si>
  <si>
    <t>767</t>
  </si>
  <si>
    <t>JHON CRISTOPHER ROSARIO RICHIEZ</t>
  </si>
  <si>
    <t>731</t>
  </si>
  <si>
    <t xml:space="preserve">KENIA FRANCISCA LORA SALDÍVAR </t>
  </si>
  <si>
    <t xml:space="preserve">DIVISIÓN DE ENCUADERNACIÓN </t>
  </si>
  <si>
    <t>122</t>
  </si>
  <si>
    <t xml:space="preserve">JOAQUÍN MORLA CARO </t>
  </si>
  <si>
    <t>269</t>
  </si>
  <si>
    <t xml:space="preserve">LUCÍA FIGUEROA BRAZOBAN </t>
  </si>
  <si>
    <t xml:space="preserve">AUXILIAR DE ENCUADERNACIÓN </t>
  </si>
  <si>
    <t>696</t>
  </si>
  <si>
    <t xml:space="preserve">LORENZO MENA HIDALGO </t>
  </si>
  <si>
    <t xml:space="preserve">DEPARTAMENTO DE DESARROLLO DE COLECCIONES </t>
  </si>
  <si>
    <t>108</t>
  </si>
  <si>
    <t>228</t>
  </si>
  <si>
    <t xml:space="preserve">WENDY ESTHER SÁNCHEZ PIMENTEL </t>
  </si>
  <si>
    <t>TÉCN. DE DESARROLLO DE COLECCIONES</t>
  </si>
  <si>
    <t>552</t>
  </si>
  <si>
    <t xml:space="preserve">ROBERT JIMÉNEZ MONTERO </t>
  </si>
  <si>
    <t>AUX. DE DESARROLLO DE COLECCIONES</t>
  </si>
  <si>
    <t>077</t>
  </si>
  <si>
    <t xml:space="preserve">MARTA MARIBEL RODRÍGUEZ GERMAN </t>
  </si>
  <si>
    <t>699</t>
  </si>
  <si>
    <t xml:space="preserve">MIRANDY NOVAS ABREU </t>
  </si>
  <si>
    <t xml:space="preserve">ADRIAN PERALTA CALCAÑO </t>
  </si>
  <si>
    <t>678</t>
  </si>
  <si>
    <t xml:space="preserve">CAROLINE ESTHERLYN GARCÍA LORA </t>
  </si>
  <si>
    <t>723</t>
  </si>
  <si>
    <t>KATHERINE YUSAIRY PEREZ LOPEZ</t>
  </si>
  <si>
    <t xml:space="preserve">DIVISIÓN DE DEPÓSITO LEGAL </t>
  </si>
  <si>
    <t>140</t>
  </si>
  <si>
    <t xml:space="preserve">ROCIO ANTONIA MORILLO ROMERO </t>
  </si>
  <si>
    <t>DIVISIÓN AGENCIA DOMINICANA ISBN/ISSN</t>
  </si>
  <si>
    <t>068</t>
  </si>
  <si>
    <t xml:space="preserve">GREIVIS CRISTINA ASENCIO </t>
  </si>
  <si>
    <t>206</t>
  </si>
  <si>
    <t xml:space="preserve">HUGO HERNÁN ALBUERME MONTAS </t>
  </si>
  <si>
    <t>TECN. ISBN E ISSN</t>
  </si>
  <si>
    <t>661</t>
  </si>
  <si>
    <t xml:space="preserve">IRIS LETICIA PINEDA JAVIER </t>
  </si>
  <si>
    <t>AUX. DE ISBN E ISSN</t>
  </si>
  <si>
    <t xml:space="preserve">DEPARTAMENTO DE SERVICIOS AL PÚBLICO </t>
  </si>
  <si>
    <t>T32</t>
  </si>
  <si>
    <t>ELIZABETH  POLANCO CASTRO</t>
  </si>
  <si>
    <t>SUPERVISOR (A)</t>
  </si>
  <si>
    <t>060</t>
  </si>
  <si>
    <t>034</t>
  </si>
  <si>
    <t xml:space="preserve">MARÍA MOREL PLASCENCIA </t>
  </si>
  <si>
    <t>AUXILIAR BIBLIOTECARIA II</t>
  </si>
  <si>
    <t>035</t>
  </si>
  <si>
    <t xml:space="preserve">PRUDENCIA RIVERA RIVERA </t>
  </si>
  <si>
    <t>036</t>
  </si>
  <si>
    <t xml:space="preserve">MIGUEL UBALDO CÁRDENAS VERAS </t>
  </si>
  <si>
    <t>AUXILIAR BIBLIOTECARIO II</t>
  </si>
  <si>
    <t>057</t>
  </si>
  <si>
    <t>MARÍA DEL CARMEN DOLORES ENCARNACIÓN</t>
  </si>
  <si>
    <t>073</t>
  </si>
  <si>
    <t>WILLIAMS RIVERA GUZMÁN</t>
  </si>
  <si>
    <t>746</t>
  </si>
  <si>
    <t>ROSAYNI GONZÁLEZ RODRÍGUEZ</t>
  </si>
  <si>
    <t>AUXILIAR BIBLIOTECARIA I</t>
  </si>
  <si>
    <t>REYES BELTRE VARGAS</t>
  </si>
  <si>
    <t>112</t>
  </si>
  <si>
    <t xml:space="preserve">MARÍA LUISA CABRERA </t>
  </si>
  <si>
    <t xml:space="preserve">DIVISIÓN DE SERVICIOS A PERSONAS CON DISCAPACIDAD </t>
  </si>
  <si>
    <t>051</t>
  </si>
  <si>
    <t>ARLENE ANGELINA SEVERINO FAWCETT</t>
  </si>
  <si>
    <t>204</t>
  </si>
  <si>
    <t xml:space="preserve">ALEXI LUCIANO ROMÁN BELLO </t>
  </si>
  <si>
    <t xml:space="preserve">TECNICO DE AUDIO DE LIBRO </t>
  </si>
  <si>
    <t>083</t>
  </si>
  <si>
    <t xml:space="preserve">MARITZA JOSEFINA SANTANA HOLGUIN </t>
  </si>
  <si>
    <t>CATALOGADOR A FORMATOS ACCESIBLES</t>
  </si>
  <si>
    <t>415</t>
  </si>
  <si>
    <t xml:space="preserve">YOILIN NOVAS </t>
  </si>
  <si>
    <t>AUXILIAR BIBLIOTECARIO I</t>
  </si>
  <si>
    <t>745</t>
  </si>
  <si>
    <t>VICTOR MANEL HERNANDEZ TEJEDA</t>
  </si>
  <si>
    <t xml:space="preserve">DEPARTAMENTO DE CATALOGACIÓN Y ADMINISTRACIÓN DE COLECCIONES </t>
  </si>
  <si>
    <t>673</t>
  </si>
  <si>
    <t>MERITA ALCÁNTARA AQUINO</t>
  </si>
  <si>
    <t>399</t>
  </si>
  <si>
    <t>MARA LUCIA FILETO DA FONSECA</t>
  </si>
  <si>
    <t>BIBLIOTECÓLOGO (A)</t>
  </si>
  <si>
    <t>202</t>
  </si>
  <si>
    <t>YNGRID ELIZABETH DE JESÚS LOCKWARD</t>
  </si>
  <si>
    <t>TÉCNICO(A) CATALOGACION Y ADM. COL.</t>
  </si>
  <si>
    <t>027</t>
  </si>
  <si>
    <t xml:space="preserve">DAYSI MARGARITA GARCÍA ROJAS </t>
  </si>
  <si>
    <t>066</t>
  </si>
  <si>
    <t>BRENDA M DE LOS ÁNGELES TÁVAREZ JIMÉNEZ</t>
  </si>
  <si>
    <t>260</t>
  </si>
  <si>
    <t xml:space="preserve">LORENZA DEL ROSARIO PERÉZ SOSA </t>
  </si>
  <si>
    <t>ADALGISA GONZALEZ DE JESUS</t>
  </si>
  <si>
    <t>AUX. ADMINISTRACION DE COLECCIONES</t>
  </si>
  <si>
    <t xml:space="preserve">DIVISIÓN DE ADMINISTRACIÓN DE COLECCIONES </t>
  </si>
  <si>
    <t>081</t>
  </si>
  <si>
    <t xml:space="preserve">RODY RODRÍGUEZ MEDINA </t>
  </si>
  <si>
    <t>236</t>
  </si>
  <si>
    <t>GLORIBEL ALTAGARCIA LARA VELÁSQUEZ</t>
  </si>
  <si>
    <t>657</t>
  </si>
  <si>
    <t xml:space="preserve">JOSELYN PUELLO ARTILES </t>
  </si>
  <si>
    <t>758</t>
  </si>
  <si>
    <t>AILEN YAMILCA BRITO LIRIANO</t>
  </si>
  <si>
    <t xml:space="preserve">DIVISIÓN DE HEMEROTECA </t>
  </si>
  <si>
    <t>T28</t>
  </si>
  <si>
    <t xml:space="preserve">WANDA LIDUVINA GUZMÁN GUERRERO </t>
  </si>
  <si>
    <t>155</t>
  </si>
  <si>
    <t xml:space="preserve">SANTA ROSARIO CEDANO </t>
  </si>
  <si>
    <t>AUXILIAR DE HEMEROTECA</t>
  </si>
  <si>
    <t>026</t>
  </si>
  <si>
    <t xml:space="preserve">RAMÓN RUBEN JIMÉNEZ CABA </t>
  </si>
  <si>
    <t>049</t>
  </si>
  <si>
    <t xml:space="preserve">CARMEN LUCÍA CRUZ MEDINA </t>
  </si>
  <si>
    <t>052</t>
  </si>
  <si>
    <t xml:space="preserve">MIRIAM EUDOCIA JAVIER GERMAN </t>
  </si>
  <si>
    <t>142</t>
  </si>
  <si>
    <t xml:space="preserve">JUANA DAYSI GUILLEN ARIAS </t>
  </si>
  <si>
    <t>037</t>
  </si>
  <si>
    <t xml:space="preserve">VICENTA MOLINA CARRIÓN </t>
  </si>
  <si>
    <t>RAMON DARIO REYNOSO DOMINGUEZ</t>
  </si>
  <si>
    <t xml:space="preserve">RED NACIONAL DE BIBLIOTECAS PUBLICAS </t>
  </si>
  <si>
    <t>T30</t>
  </si>
  <si>
    <t xml:space="preserve">JULIO CESAR MOREL </t>
  </si>
  <si>
    <t>T16</t>
  </si>
  <si>
    <t>CARMEN GIOVANNI POLANCO LOVERA</t>
  </si>
  <si>
    <t>COORDINADOR (A)</t>
  </si>
  <si>
    <t>015</t>
  </si>
  <si>
    <t xml:space="preserve">SONIA ALTAGRACIA SANTOS MAYI </t>
  </si>
  <si>
    <t>PROMOTOR (A)</t>
  </si>
  <si>
    <t>098</t>
  </si>
  <si>
    <t xml:space="preserve">EMELISA ALT. SÁNCHEZ CALDERÓN </t>
  </si>
  <si>
    <t xml:space="preserve">VALENTINA ISABEL MATEO VIÑAS </t>
  </si>
  <si>
    <t>TECNICO (A) BIBLIOTECARIO (A)</t>
  </si>
  <si>
    <t>191</t>
  </si>
  <si>
    <t xml:space="preserve">RITA YSABEL DE JESUS PANTALEÓN </t>
  </si>
  <si>
    <t>062</t>
  </si>
  <si>
    <t xml:space="preserve">SILVANIA AQUINO RODRÍGUEZ </t>
  </si>
  <si>
    <t>023</t>
  </si>
  <si>
    <t xml:space="preserve">MARÍA LUZ CRUZ ESTRELLA </t>
  </si>
  <si>
    <t>749</t>
  </si>
  <si>
    <t>JEAN CARLOS ESEQUIEL ORTÍZ ARIAS</t>
  </si>
  <si>
    <t xml:space="preserve">BIBLIOTECAS PÚBLICAS </t>
  </si>
  <si>
    <t>T18</t>
  </si>
  <si>
    <t xml:space="preserve">AIDE LIRANZO DEL VILLAR </t>
  </si>
  <si>
    <t>T19</t>
  </si>
  <si>
    <t>RAMÓN ANTONIO CABRAL DE LA CRUZ</t>
  </si>
  <si>
    <t>449</t>
  </si>
  <si>
    <t xml:space="preserve">FELIX DAVID REYES THEN </t>
  </si>
  <si>
    <t xml:space="preserve">FACILITADOR (A) BIBLIOTECARIO </t>
  </si>
  <si>
    <t>702</t>
  </si>
  <si>
    <t xml:space="preserve">WENDY LIANA DE SAN MARTIN LANDRON </t>
  </si>
  <si>
    <t>708</t>
  </si>
  <si>
    <t xml:space="preserve">IGNACIO ANTONIO TÁVERAS MEJÍA </t>
  </si>
  <si>
    <t>043</t>
  </si>
  <si>
    <t>DILCIA AMARILIS REYNOSO UREÑA</t>
  </si>
  <si>
    <t>755</t>
  </si>
  <si>
    <t>MARIA LUZ GOMEZ</t>
  </si>
  <si>
    <t>737</t>
  </si>
  <si>
    <t>ESTEPHANY CARINA BASTARDO DE JESÚS</t>
  </si>
  <si>
    <t>751</t>
  </si>
  <si>
    <t>IRIS JAQUELINE MOSQUEA DE LA CRUZ</t>
  </si>
  <si>
    <t>719</t>
  </si>
  <si>
    <t xml:space="preserve">DAYEIRA CHANTAL CABRAL </t>
  </si>
  <si>
    <t>769</t>
  </si>
  <si>
    <t>ELIZABET ALMANZAR GARCIA</t>
  </si>
  <si>
    <t>218</t>
  </si>
  <si>
    <t xml:space="preserve">CANDIDA PIÑA REYES </t>
  </si>
  <si>
    <t>720</t>
  </si>
  <si>
    <t xml:space="preserve">ORLANDO FERNÁNDEZ SANTANA </t>
  </si>
  <si>
    <t>VIGILANTE</t>
  </si>
  <si>
    <t>721</t>
  </si>
  <si>
    <t>VALERIO CONCEPCIÓN REGALADO JEREZ</t>
  </si>
  <si>
    <t>784</t>
  </si>
  <si>
    <t>CRISLEIDY A. MERÁN CANDELARIO</t>
  </si>
  <si>
    <t xml:space="preserve">DEPARTAMENTO DE CAPACITACIÓN EN BIBLIOTECOLOGÍA </t>
  </si>
  <si>
    <t xml:space="preserve">DANIA JOSEFINA REYES RAMÍREZ </t>
  </si>
  <si>
    <t xml:space="preserve">DEPARTAMENTO DE GESTIÓN CULTURAL </t>
  </si>
  <si>
    <t>T34</t>
  </si>
  <si>
    <t>KRISTEL IVONNE VENTURA MEJIA</t>
  </si>
  <si>
    <t>FACILITADOR BIBLIOTECARIO</t>
  </si>
  <si>
    <t>683</t>
  </si>
  <si>
    <t>106</t>
  </si>
  <si>
    <t xml:space="preserve">ANADYS ANDRINES ROSARIO NUÑEZ </t>
  </si>
  <si>
    <t xml:space="preserve">AUXILIAR DE GESTIÓN CULTURAL </t>
  </si>
  <si>
    <t>768</t>
  </si>
  <si>
    <t>CRISTINO PANIAGUA</t>
  </si>
  <si>
    <t xml:space="preserve">DEPARTAMENTO DE PLANIFICACIÓN Y DESARROLLO </t>
  </si>
  <si>
    <t>T35</t>
  </si>
  <si>
    <t>YAMIL ARBAJE DE MOYA</t>
  </si>
  <si>
    <t>MARIA LUISA GARCIA</t>
  </si>
  <si>
    <t>ANALISTA DE PLANIFICACION</t>
  </si>
  <si>
    <t>T21</t>
  </si>
  <si>
    <t xml:space="preserve">TAÍNA BERROA OZUNA </t>
  </si>
  <si>
    <t>ANALISTA  DESARROLLO INST.</t>
  </si>
  <si>
    <t>NÓMINA PERSONAL CARÁCTER TEMPORAL</t>
  </si>
  <si>
    <t>CARACTER TEMPORAL (VIGENCIA)</t>
  </si>
  <si>
    <t>Género</t>
  </si>
  <si>
    <t>Ingreso Bruto</t>
  </si>
  <si>
    <t>DEPARTAMENTO JURÍDICO</t>
  </si>
  <si>
    <t>T7</t>
  </si>
  <si>
    <t>T1</t>
  </si>
  <si>
    <t>T13</t>
  </si>
  <si>
    <t>DIVISIÓN DE PUBLICACIONES</t>
  </si>
  <si>
    <t>T23</t>
  </si>
  <si>
    <t>T3</t>
  </si>
  <si>
    <t xml:space="preserve">DEPARTAMENTO DE TÉCNOLOGIA DE LA INFORMACIÓN Y COMUNICACIÓN </t>
  </si>
  <si>
    <t>DEPARTAMENTO DE SERVICIO AL PUBLICO</t>
  </si>
  <si>
    <t>DIVISION DE HEMEROTECA</t>
  </si>
  <si>
    <t>RED NACIONAL DE BIBLIOTECAS PÚBLICAS</t>
  </si>
  <si>
    <t xml:space="preserve">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</si>
</sst>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 Black"/>
      <family val="2"/>
    </font>
    <font>
      <sz val="12"/>
      <name val="Arial"/>
      <family val="2"/>
    </font>
    <font>
      <b/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</font>
    <font>
      <b/>
      <sz val="12"/>
      <color theme="1"/>
      <name val="Aptos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0">
    <xf numFmtId="0" fontId="0" fillId="0" borderId="0" xfId="0"/>
    <xf numFmtId="0" fontId="0" fillId="2" borderId="0" xfId="0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left"/>
    </xf>
    <xf numFmtId="164" fontId="6" fillId="4" borderId="9" xfId="1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center"/>
    </xf>
    <xf numFmtId="164" fontId="6" fillId="4" borderId="11" xfId="1" applyFont="1" applyFill="1" applyBorder="1" applyAlignment="1">
      <alignment horizontal="left"/>
    </xf>
    <xf numFmtId="164" fontId="6" fillId="4" borderId="11" xfId="1" applyFont="1" applyFill="1" applyBorder="1" applyAlignment="1">
      <alignment horizontal="center"/>
    </xf>
    <xf numFmtId="0" fontId="6" fillId="4" borderId="12" xfId="0" applyFont="1" applyFill="1" applyBorder="1" applyAlignment="1">
      <alignment horizontal="left"/>
    </xf>
    <xf numFmtId="0" fontId="6" fillId="4" borderId="13" xfId="0" applyFont="1" applyFill="1" applyBorder="1" applyAlignment="1">
      <alignment horizontal="left"/>
    </xf>
    <xf numFmtId="164" fontId="6" fillId="4" borderId="13" xfId="1" applyFont="1" applyFill="1" applyBorder="1" applyAlignment="1">
      <alignment horizontal="center"/>
    </xf>
    <xf numFmtId="164" fontId="6" fillId="4" borderId="13" xfId="1" applyFont="1" applyFill="1" applyBorder="1" applyAlignment="1">
      <alignment horizontal="left"/>
    </xf>
    <xf numFmtId="49" fontId="8" fillId="6" borderId="5" xfId="0" applyNumberFormat="1" applyFont="1" applyFill="1" applyBorder="1" applyAlignment="1">
      <alignment horizontal="left"/>
    </xf>
    <xf numFmtId="0" fontId="8" fillId="6" borderId="6" xfId="0" applyFont="1" applyFill="1" applyBorder="1" applyAlignment="1">
      <alignment horizontal="left"/>
    </xf>
    <xf numFmtId="0" fontId="9" fillId="6" borderId="7" xfId="0" applyFont="1" applyFill="1" applyBorder="1" applyAlignment="1">
      <alignment horizontal="left"/>
    </xf>
    <xf numFmtId="0" fontId="8" fillId="6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left"/>
    </xf>
    <xf numFmtId="164" fontId="8" fillId="6" borderId="7" xfId="1" applyFont="1" applyFill="1" applyBorder="1" applyAlignment="1">
      <alignment horizontal="left"/>
    </xf>
    <xf numFmtId="49" fontId="8" fillId="4" borderId="0" xfId="0" applyNumberFormat="1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4" borderId="0" xfId="0" applyFont="1" applyFill="1" applyAlignment="1">
      <alignment horizontal="center"/>
    </xf>
    <xf numFmtId="164" fontId="8" fillId="4" borderId="0" xfId="1" applyFont="1" applyFill="1" applyBorder="1" applyAlignment="1">
      <alignment horizontal="left"/>
    </xf>
    <xf numFmtId="49" fontId="6" fillId="4" borderId="10" xfId="0" applyNumberFormat="1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49" fontId="6" fillId="4" borderId="12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49" fontId="8" fillId="6" borderId="6" xfId="0" applyNumberFormat="1" applyFont="1" applyFill="1" applyBorder="1" applyAlignment="1">
      <alignment horizontal="left"/>
    </xf>
    <xf numFmtId="164" fontId="8" fillId="6" borderId="7" xfId="1" applyFont="1" applyFill="1" applyBorder="1" applyAlignment="1">
      <alignment horizontal="center"/>
    </xf>
    <xf numFmtId="49" fontId="11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/>
    </xf>
    <xf numFmtId="164" fontId="6" fillId="4" borderId="9" xfId="1" applyFont="1" applyFill="1" applyBorder="1" applyAlignment="1">
      <alignment horizontal="center"/>
    </xf>
    <xf numFmtId="49" fontId="10" fillId="5" borderId="2" xfId="0" applyNumberFormat="1" applyFont="1" applyFill="1" applyBorder="1"/>
    <xf numFmtId="49" fontId="8" fillId="6" borderId="14" xfId="0" applyNumberFormat="1" applyFont="1" applyFill="1" applyBorder="1" applyAlignment="1">
      <alignment horizontal="left"/>
    </xf>
    <xf numFmtId="0" fontId="9" fillId="4" borderId="0" xfId="0" applyFont="1" applyFill="1" applyAlignment="1">
      <alignment horizontal="left"/>
    </xf>
    <xf numFmtId="164" fontId="8" fillId="4" borderId="0" xfId="1" applyFont="1" applyFill="1" applyBorder="1" applyAlignment="1">
      <alignment horizontal="center"/>
    </xf>
    <xf numFmtId="0" fontId="9" fillId="6" borderId="6" xfId="0" applyFont="1" applyFill="1" applyBorder="1" applyAlignment="1">
      <alignment horizontal="left"/>
    </xf>
    <xf numFmtId="164" fontId="9" fillId="6" borderId="7" xfId="1" applyFont="1" applyFill="1" applyBorder="1" applyAlignment="1">
      <alignment horizontal="center"/>
    </xf>
    <xf numFmtId="164" fontId="9" fillId="6" borderId="7" xfId="1" applyFont="1" applyFill="1" applyBorder="1" applyAlignment="1">
      <alignment horizontal="left"/>
    </xf>
    <xf numFmtId="0" fontId="6" fillId="4" borderId="11" xfId="0" applyFont="1" applyFill="1" applyBorder="1"/>
    <xf numFmtId="4" fontId="6" fillId="4" borderId="11" xfId="0" applyNumberFormat="1" applyFont="1" applyFill="1" applyBorder="1"/>
    <xf numFmtId="49" fontId="10" fillId="5" borderId="14" xfId="0" applyNumberFormat="1" applyFont="1" applyFill="1" applyBorder="1"/>
    <xf numFmtId="0" fontId="10" fillId="5" borderId="15" xfId="0" applyFont="1" applyFill="1" applyBorder="1"/>
    <xf numFmtId="0" fontId="10" fillId="5" borderId="15" xfId="0" applyFont="1" applyFill="1" applyBorder="1" applyAlignment="1">
      <alignment horizontal="center"/>
    </xf>
    <xf numFmtId="0" fontId="11" fillId="4" borderId="9" xfId="0" applyFont="1" applyFill="1" applyBorder="1"/>
    <xf numFmtId="0" fontId="11" fillId="4" borderId="9" xfId="0" applyFont="1" applyFill="1" applyBorder="1" applyAlignment="1">
      <alignment horizontal="center"/>
    </xf>
    <xf numFmtId="4" fontId="11" fillId="4" borderId="9" xfId="0" applyNumberFormat="1" applyFont="1" applyFill="1" applyBorder="1"/>
    <xf numFmtId="164" fontId="6" fillId="4" borderId="11" xfId="1" applyFont="1" applyFill="1" applyBorder="1" applyAlignment="1">
      <alignment horizontal="right"/>
    </xf>
    <xf numFmtId="49" fontId="11" fillId="4" borderId="10" xfId="0" applyNumberFormat="1" applyFont="1" applyFill="1" applyBorder="1" applyAlignment="1">
      <alignment horizontal="center"/>
    </xf>
    <xf numFmtId="0" fontId="11" fillId="4" borderId="11" xfId="0" applyFont="1" applyFill="1" applyBorder="1"/>
    <xf numFmtId="0" fontId="11" fillId="4" borderId="11" xfId="0" applyFont="1" applyFill="1" applyBorder="1" applyAlignment="1">
      <alignment horizontal="center"/>
    </xf>
    <xf numFmtId="4" fontId="11" fillId="4" borderId="11" xfId="0" applyNumberFormat="1" applyFont="1" applyFill="1" applyBorder="1"/>
    <xf numFmtId="49" fontId="11" fillId="4" borderId="0" xfId="0" applyNumberFormat="1" applyFont="1" applyFill="1"/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/>
    <xf numFmtId="4" fontId="11" fillId="0" borderId="11" xfId="0" applyNumberFormat="1" applyFont="1" applyBorder="1"/>
    <xf numFmtId="0" fontId="7" fillId="5" borderId="14" xfId="0" applyFont="1" applyFill="1" applyBorder="1"/>
    <xf numFmtId="0" fontId="7" fillId="5" borderId="15" xfId="0" applyFon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0" fontId="2" fillId="5" borderId="15" xfId="0" applyFont="1" applyFill="1" applyBorder="1" applyAlignment="1">
      <alignment horizontal="center"/>
    </xf>
    <xf numFmtId="0" fontId="0" fillId="4" borderId="0" xfId="0" applyFill="1"/>
    <xf numFmtId="49" fontId="10" fillId="5" borderId="1" xfId="0" applyNumberFormat="1" applyFont="1" applyFill="1" applyBorder="1"/>
    <xf numFmtId="0" fontId="10" fillId="5" borderId="16" xfId="0" applyFont="1" applyFill="1" applyBorder="1"/>
    <xf numFmtId="0" fontId="10" fillId="5" borderId="16" xfId="0" applyFont="1" applyFill="1" applyBorder="1" applyAlignment="1">
      <alignment horizontal="center"/>
    </xf>
    <xf numFmtId="49" fontId="8" fillId="6" borderId="17" xfId="0" applyNumberFormat="1" applyFont="1" applyFill="1" applyBorder="1" applyAlignment="1">
      <alignment horizontal="left"/>
    </xf>
    <xf numFmtId="0" fontId="8" fillId="6" borderId="18" xfId="0" applyFont="1" applyFill="1" applyBorder="1" applyAlignment="1">
      <alignment horizontal="left"/>
    </xf>
    <xf numFmtId="0" fontId="9" fillId="6" borderId="18" xfId="0" applyFont="1" applyFill="1" applyBorder="1" applyAlignment="1">
      <alignment horizontal="left"/>
    </xf>
    <xf numFmtId="164" fontId="8" fillId="6" borderId="18" xfId="1" applyFont="1" applyFill="1" applyBorder="1" applyAlignment="1">
      <alignment horizontal="center"/>
    </xf>
    <xf numFmtId="164" fontId="8" fillId="6" borderId="18" xfId="1" applyFont="1" applyFill="1" applyBorder="1" applyAlignment="1">
      <alignment horizontal="left"/>
    </xf>
    <xf numFmtId="49" fontId="6" fillId="4" borderId="19" xfId="0" applyNumberFormat="1" applyFont="1" applyFill="1" applyBorder="1" applyAlignment="1">
      <alignment horizontal="center"/>
    </xf>
    <xf numFmtId="0" fontId="6" fillId="4" borderId="20" xfId="0" applyFont="1" applyFill="1" applyBorder="1" applyAlignment="1">
      <alignment horizontal="left"/>
    </xf>
    <xf numFmtId="164" fontId="6" fillId="4" borderId="20" xfId="1" applyFont="1" applyFill="1" applyBorder="1" applyAlignment="1">
      <alignment horizontal="center"/>
    </xf>
    <xf numFmtId="164" fontId="6" fillId="4" borderId="20" xfId="1" applyFont="1" applyFill="1" applyBorder="1" applyAlignment="1">
      <alignment horizontal="left"/>
    </xf>
    <xf numFmtId="49" fontId="6" fillId="4" borderId="21" xfId="0" applyNumberFormat="1" applyFont="1" applyFill="1" applyBorder="1" applyAlignment="1">
      <alignment horizontal="center"/>
    </xf>
    <xf numFmtId="0" fontId="6" fillId="4" borderId="22" xfId="0" applyFont="1" applyFill="1" applyBorder="1" applyAlignment="1">
      <alignment horizontal="left"/>
    </xf>
    <xf numFmtId="164" fontId="6" fillId="4" borderId="22" xfId="1" applyFont="1" applyFill="1" applyBorder="1" applyAlignment="1">
      <alignment horizontal="center"/>
    </xf>
    <xf numFmtId="164" fontId="6" fillId="4" borderId="22" xfId="1" applyFont="1" applyFill="1" applyBorder="1" applyAlignment="1">
      <alignment horizontal="left"/>
    </xf>
    <xf numFmtId="0" fontId="6" fillId="4" borderId="2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164" fontId="6" fillId="4" borderId="11" xfId="1" applyFont="1" applyFill="1" applyBorder="1" applyAlignment="1">
      <alignment horizontal="left" vertical="center"/>
    </xf>
    <xf numFmtId="164" fontId="6" fillId="4" borderId="11" xfId="1" applyFont="1" applyFill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49" fontId="6" fillId="4" borderId="23" xfId="0" applyNumberFormat="1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center" vertical="center"/>
    </xf>
    <xf numFmtId="164" fontId="6" fillId="4" borderId="20" xfId="1" applyFont="1" applyFill="1" applyBorder="1" applyAlignment="1">
      <alignment horizontal="left" vertical="center"/>
    </xf>
    <xf numFmtId="49" fontId="6" fillId="4" borderId="10" xfId="0" applyNumberFormat="1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left" vertical="center"/>
    </xf>
    <xf numFmtId="164" fontId="6" fillId="4" borderId="22" xfId="1" applyFont="1" applyFill="1" applyBorder="1" applyAlignment="1">
      <alignment horizontal="center" vertical="center"/>
    </xf>
    <xf numFmtId="164" fontId="6" fillId="4" borderId="22" xfId="1" applyFont="1" applyFill="1" applyBorder="1" applyAlignment="1">
      <alignment horizontal="left" vertical="center"/>
    </xf>
    <xf numFmtId="0" fontId="11" fillId="0" borderId="20" xfId="0" applyFont="1" applyBorder="1" applyAlignment="1">
      <alignment horizontal="center"/>
    </xf>
    <xf numFmtId="49" fontId="6" fillId="4" borderId="6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center"/>
    </xf>
    <xf numFmtId="164" fontId="6" fillId="4" borderId="7" xfId="1" applyFont="1" applyFill="1" applyBorder="1" applyAlignment="1">
      <alignment horizontal="center"/>
    </xf>
    <xf numFmtId="164" fontId="6" fillId="4" borderId="7" xfId="1" applyFont="1" applyFill="1" applyBorder="1" applyAlignment="1">
      <alignment horizontal="left"/>
    </xf>
    <xf numFmtId="49" fontId="6" fillId="4" borderId="23" xfId="0" applyNumberFormat="1" applyFont="1" applyFill="1" applyBorder="1" applyAlignment="1">
      <alignment horizontal="center"/>
    </xf>
    <xf numFmtId="0" fontId="6" fillId="4" borderId="19" xfId="0" applyFont="1" applyFill="1" applyBorder="1" applyAlignment="1">
      <alignment horizontal="left"/>
    </xf>
    <xf numFmtId="49" fontId="6" fillId="4" borderId="25" xfId="0" applyNumberFormat="1" applyFont="1" applyFill="1" applyBorder="1" applyAlignment="1">
      <alignment horizontal="center"/>
    </xf>
    <xf numFmtId="49" fontId="6" fillId="4" borderId="24" xfId="0" applyNumberFormat="1" applyFont="1" applyFill="1" applyBorder="1" applyAlignment="1">
      <alignment horizontal="center"/>
    </xf>
    <xf numFmtId="0" fontId="6" fillId="4" borderId="21" xfId="0" applyFont="1" applyFill="1" applyBorder="1" applyAlignment="1">
      <alignment horizontal="left"/>
    </xf>
    <xf numFmtId="49" fontId="6" fillId="4" borderId="3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left"/>
    </xf>
    <xf numFmtId="164" fontId="6" fillId="4" borderId="4" xfId="1" applyFont="1" applyFill="1" applyBorder="1" applyAlignment="1">
      <alignment horizontal="center"/>
    </xf>
    <xf numFmtId="164" fontId="6" fillId="4" borderId="4" xfId="1" applyFont="1" applyFill="1" applyBorder="1" applyAlignment="1">
      <alignment horizontal="left"/>
    </xf>
    <xf numFmtId="164" fontId="6" fillId="4" borderId="20" xfId="1" applyFont="1" applyFill="1" applyBorder="1" applyAlignment="1">
      <alignment horizontal="right"/>
    </xf>
    <xf numFmtId="0" fontId="11" fillId="0" borderId="21" xfId="0" applyFont="1" applyBorder="1" applyAlignment="1">
      <alignment horizontal="center"/>
    </xf>
    <xf numFmtId="0" fontId="11" fillId="4" borderId="22" xfId="0" applyFont="1" applyFill="1" applyBorder="1"/>
    <xf numFmtId="0" fontId="11" fillId="4" borderId="22" xfId="0" applyFont="1" applyFill="1" applyBorder="1" applyAlignment="1">
      <alignment horizontal="center"/>
    </xf>
    <xf numFmtId="4" fontId="11" fillId="4" borderId="22" xfId="0" applyNumberFormat="1" applyFont="1" applyFill="1" applyBorder="1"/>
    <xf numFmtId="49" fontId="11" fillId="4" borderId="19" xfId="0" applyNumberFormat="1" applyFont="1" applyFill="1" applyBorder="1" applyAlignment="1">
      <alignment horizontal="center"/>
    </xf>
    <xf numFmtId="0" fontId="11" fillId="4" borderId="20" xfId="0" applyFont="1" applyFill="1" applyBorder="1"/>
    <xf numFmtId="0" fontId="11" fillId="4" borderId="20" xfId="0" applyFont="1" applyFill="1" applyBorder="1" applyAlignment="1">
      <alignment horizontal="center"/>
    </xf>
    <xf numFmtId="4" fontId="11" fillId="4" borderId="20" xfId="0" applyNumberFormat="1" applyFont="1" applyFill="1" applyBorder="1"/>
    <xf numFmtId="49" fontId="6" fillId="4" borderId="17" xfId="0" applyNumberFormat="1" applyFont="1" applyFill="1" applyBorder="1" applyAlignment="1">
      <alignment horizontal="center"/>
    </xf>
    <xf numFmtId="164" fontId="6" fillId="4" borderId="18" xfId="1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/>
    <xf numFmtId="0" fontId="6" fillId="4" borderId="20" xfId="0" applyFont="1" applyFill="1" applyBorder="1"/>
    <xf numFmtId="4" fontId="6" fillId="4" borderId="20" xfId="0" applyNumberFormat="1" applyFont="1" applyFill="1" applyBorder="1"/>
    <xf numFmtId="49" fontId="6" fillId="4" borderId="26" xfId="0" applyNumberFormat="1" applyFont="1" applyFill="1" applyBorder="1" applyAlignment="1">
      <alignment horizontal="center"/>
    </xf>
    <xf numFmtId="0" fontId="11" fillId="4" borderId="24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left"/>
    </xf>
    <xf numFmtId="0" fontId="6" fillId="4" borderId="18" xfId="0" applyFont="1" applyFill="1" applyBorder="1" applyAlignment="1">
      <alignment horizontal="left"/>
    </xf>
    <xf numFmtId="0" fontId="6" fillId="4" borderId="18" xfId="0" applyFont="1" applyFill="1" applyBorder="1" applyAlignment="1">
      <alignment horizontal="center"/>
    </xf>
    <xf numFmtId="164" fontId="6" fillId="4" borderId="18" xfId="1" applyFont="1" applyFill="1" applyBorder="1" applyAlignment="1">
      <alignment horizontal="center"/>
    </xf>
    <xf numFmtId="49" fontId="6" fillId="4" borderId="27" xfId="0" applyNumberFormat="1" applyFont="1" applyFill="1" applyBorder="1" applyAlignment="1">
      <alignment horizontal="center"/>
    </xf>
    <xf numFmtId="0" fontId="0" fillId="0" borderId="9" xfId="0" applyBorder="1"/>
    <xf numFmtId="164" fontId="6" fillId="4" borderId="28" xfId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64" fontId="6" fillId="4" borderId="28" xfId="1" applyFont="1" applyFill="1" applyBorder="1" applyAlignment="1">
      <alignment horizontal="left"/>
    </xf>
    <xf numFmtId="0" fontId="6" fillId="4" borderId="28" xfId="0" applyFont="1" applyFill="1" applyBorder="1" applyAlignment="1">
      <alignment horizontal="left"/>
    </xf>
    <xf numFmtId="0" fontId="11" fillId="0" borderId="28" xfId="0" applyFont="1" applyBorder="1" applyAlignment="1">
      <alignment horizontal="center"/>
    </xf>
    <xf numFmtId="0" fontId="3" fillId="2" borderId="0" xfId="0" applyFont="1" applyFill="1"/>
    <xf numFmtId="0" fontId="4" fillId="0" borderId="29" xfId="0" applyFont="1" applyBorder="1" applyAlignment="1">
      <alignment horizontal="left"/>
    </xf>
    <xf numFmtId="0" fontId="5" fillId="3" borderId="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164" fontId="6" fillId="4" borderId="9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5" borderId="1" xfId="0" applyFont="1" applyFill="1" applyBorder="1"/>
    <xf numFmtId="0" fontId="2" fillId="5" borderId="16" xfId="0" applyFont="1" applyFill="1" applyBorder="1"/>
    <xf numFmtId="0" fontId="6" fillId="4" borderId="19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 readingOrder="1"/>
    </xf>
    <xf numFmtId="0" fontId="11" fillId="4" borderId="2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" fillId="5" borderId="2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left" vertical="center"/>
    </xf>
    <xf numFmtId="164" fontId="6" fillId="4" borderId="13" xfId="1" applyFont="1" applyFill="1" applyBorder="1" applyAlignment="1">
      <alignment horizontal="center" vertical="center"/>
    </xf>
    <xf numFmtId="164" fontId="6" fillId="4" borderId="13" xfId="1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4" fontId="11" fillId="4" borderId="9" xfId="0" applyNumberFormat="1" applyFont="1" applyFill="1" applyBorder="1" applyAlignment="1">
      <alignment vertical="center"/>
    </xf>
    <xf numFmtId="4" fontId="11" fillId="4" borderId="11" xfId="0" applyNumberFormat="1" applyFont="1" applyFill="1" applyBorder="1" applyAlignment="1">
      <alignment vertical="center"/>
    </xf>
    <xf numFmtId="0" fontId="6" fillId="4" borderId="9" xfId="0" applyFont="1" applyFill="1" applyBorder="1" applyAlignment="1">
      <alignment horizontal="center" vertical="center"/>
    </xf>
    <xf numFmtId="164" fontId="6" fillId="4" borderId="9" xfId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vertical="center"/>
    </xf>
    <xf numFmtId="4" fontId="11" fillId="4" borderId="13" xfId="0" applyNumberFormat="1" applyFont="1" applyFill="1" applyBorder="1" applyAlignment="1">
      <alignment vertical="center"/>
    </xf>
    <xf numFmtId="164" fontId="9" fillId="4" borderId="0" xfId="1" applyFont="1" applyFill="1" applyBorder="1" applyAlignment="1">
      <alignment horizontal="center"/>
    </xf>
    <xf numFmtId="164" fontId="9" fillId="4" borderId="0" xfId="1" applyFont="1" applyFill="1" applyBorder="1" applyAlignment="1">
      <alignment horizontal="left"/>
    </xf>
    <xf numFmtId="0" fontId="9" fillId="6" borderId="14" xfId="0" applyFont="1" applyFill="1" applyBorder="1" applyAlignment="1">
      <alignment horizontal="left"/>
    </xf>
    <xf numFmtId="49" fontId="6" fillId="4" borderId="12" xfId="1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4" fontId="11" fillId="4" borderId="22" xfId="0" applyNumberFormat="1" applyFont="1" applyFill="1" applyBorder="1" applyAlignment="1">
      <alignment vertical="center"/>
    </xf>
    <xf numFmtId="0" fontId="12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164" fontId="9" fillId="0" borderId="0" xfId="1" applyFont="1" applyFill="1" applyBorder="1" applyAlignment="1">
      <alignment horizontal="center"/>
    </xf>
    <xf numFmtId="164" fontId="9" fillId="0" borderId="0" xfId="1" applyFont="1" applyFill="1" applyBorder="1" applyAlignment="1">
      <alignment horizontal="left"/>
    </xf>
    <xf numFmtId="4" fontId="11" fillId="4" borderId="9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164" fontId="9" fillId="4" borderId="15" xfId="1" applyFont="1" applyFill="1" applyBorder="1" applyAlignment="1">
      <alignment horizontal="center"/>
    </xf>
    <xf numFmtId="164" fontId="9" fillId="4" borderId="15" xfId="1" applyFont="1" applyFill="1" applyBorder="1" applyAlignment="1">
      <alignment horizontal="left"/>
    </xf>
    <xf numFmtId="49" fontId="6" fillId="4" borderId="8" xfId="0" applyNumberFormat="1" applyFont="1" applyFill="1" applyBorder="1" applyAlignment="1">
      <alignment horizontal="center"/>
    </xf>
    <xf numFmtId="0" fontId="2" fillId="7" borderId="14" xfId="0" applyFont="1" applyFill="1" applyBorder="1"/>
    <xf numFmtId="0" fontId="2" fillId="7" borderId="15" xfId="0" applyFont="1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wrapText="1"/>
    </xf>
    <xf numFmtId="0" fontId="0" fillId="8" borderId="11" xfId="0" applyFill="1" applyBorder="1"/>
    <xf numFmtId="0" fontId="0" fillId="0" borderId="11" xfId="0" applyBorder="1" applyAlignment="1">
      <alignment horizontal="left"/>
    </xf>
    <xf numFmtId="0" fontId="2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" fillId="0" borderId="11" xfId="0" applyFont="1" applyBorder="1" applyAlignment="1">
      <alignment horizontal="left"/>
    </xf>
    <xf numFmtId="0" fontId="2" fillId="9" borderId="11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wrapText="1"/>
    </xf>
    <xf numFmtId="0" fontId="6" fillId="10" borderId="11" xfId="0" applyFont="1" applyFill="1" applyBorder="1" applyAlignment="1">
      <alignment horizontal="left" vertical="center"/>
    </xf>
    <xf numFmtId="0" fontId="6" fillId="10" borderId="11" xfId="0" applyFont="1" applyFill="1" applyBorder="1" applyAlignment="1">
      <alignment horizontal="center" vertical="center"/>
    </xf>
    <xf numFmtId="164" fontId="6" fillId="10" borderId="11" xfId="1" applyFont="1" applyFill="1" applyBorder="1" applyAlignment="1">
      <alignment horizontal="left" vertical="center"/>
    </xf>
    <xf numFmtId="49" fontId="6" fillId="10" borderId="19" xfId="0" applyNumberFormat="1" applyFont="1" applyFill="1" applyBorder="1" applyAlignment="1">
      <alignment horizontal="center"/>
    </xf>
    <xf numFmtId="0" fontId="6" fillId="10" borderId="20" xfId="0" applyFont="1" applyFill="1" applyBorder="1" applyAlignment="1">
      <alignment horizontal="left"/>
    </xf>
    <xf numFmtId="164" fontId="6" fillId="10" borderId="20" xfId="1" applyFont="1" applyFill="1" applyBorder="1" applyAlignment="1">
      <alignment horizontal="center"/>
    </xf>
    <xf numFmtId="164" fontId="6" fillId="10" borderId="20" xfId="1" applyFont="1" applyFill="1" applyBorder="1" applyAlignment="1">
      <alignment horizontal="left"/>
    </xf>
    <xf numFmtId="0" fontId="6" fillId="10" borderId="7" xfId="0" applyFont="1" applyFill="1" applyBorder="1" applyAlignment="1">
      <alignment horizontal="left"/>
    </xf>
    <xf numFmtId="164" fontId="6" fillId="10" borderId="7" xfId="1" applyFont="1" applyFill="1" applyBorder="1" applyAlignment="1">
      <alignment horizontal="center"/>
    </xf>
    <xf numFmtId="164" fontId="6" fillId="10" borderId="7" xfId="1" applyFont="1" applyFill="1" applyBorder="1" applyAlignment="1">
      <alignment horizontal="left"/>
    </xf>
    <xf numFmtId="0" fontId="11" fillId="10" borderId="20" xfId="0" applyFont="1" applyFill="1" applyBorder="1" applyAlignment="1">
      <alignment horizontal="center"/>
    </xf>
    <xf numFmtId="164" fontId="6" fillId="10" borderId="11" xfId="1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left"/>
    </xf>
    <xf numFmtId="164" fontId="6" fillId="10" borderId="11" xfId="1" applyFont="1" applyFill="1" applyBorder="1" applyAlignment="1">
      <alignment horizontal="center"/>
    </xf>
    <xf numFmtId="164" fontId="6" fillId="10" borderId="11" xfId="1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0" fontId="2" fillId="9" borderId="11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7" fontId="3" fillId="2" borderId="0" xfId="0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121596</xdr:rowOff>
    </xdr:from>
    <xdr:to>
      <xdr:col>1</xdr:col>
      <xdr:colOff>1456305</xdr:colOff>
      <xdr:row>5</xdr:row>
      <xdr:rowOff>93021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DC986C-9BB3-4BDB-A369-DA8C41679F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596"/>
          <a:ext cx="1952821" cy="12076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190500</xdr:rowOff>
    </xdr:from>
    <xdr:to>
      <xdr:col>1</xdr:col>
      <xdr:colOff>1219201</xdr:colOff>
      <xdr:row>7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1B3385-482C-4AE1-89DD-220C76A5B0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2095501" cy="1209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D73E-84DD-4B47-9706-75751DA759E9}">
  <dimension ref="A1:K13"/>
  <sheetViews>
    <sheetView tabSelected="1" zoomScale="77" zoomScaleNormal="77" workbookViewId="0">
      <selection activeCell="G36" sqref="G36"/>
    </sheetView>
  </sheetViews>
  <sheetFormatPr defaultColWidth="11.42578125" defaultRowHeight="15"/>
  <cols>
    <col min="1" max="1" width="17.85546875" customWidth="1"/>
    <col min="2" max="2" width="15.5703125" customWidth="1"/>
    <col min="3" max="3" width="28.7109375" customWidth="1"/>
    <col min="4" max="4" width="40.42578125" customWidth="1"/>
    <col min="5" max="5" width="29.7109375" customWidth="1"/>
    <col min="6" max="6" width="35" style="161" customWidth="1"/>
    <col min="7" max="7" width="21.7109375" style="161" customWidth="1"/>
    <col min="8" max="8" width="26.42578125" style="161" customWidth="1"/>
    <col min="9" max="9" width="8.140625" style="161" customWidth="1"/>
    <col min="10" max="10" width="14" style="161" customWidth="1"/>
    <col min="11" max="11" width="51.85546875" customWidth="1"/>
  </cols>
  <sheetData>
    <row r="1" spans="1:11" ht="18.75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</row>
    <row r="2" spans="1:11" ht="60" customHeight="1">
      <c r="A2" s="235" t="s">
        <v>1</v>
      </c>
      <c r="B2" s="235"/>
      <c r="C2" s="214" t="s">
        <v>2</v>
      </c>
      <c r="D2" s="213" t="s">
        <v>3</v>
      </c>
      <c r="E2" s="213" t="s">
        <v>4</v>
      </c>
      <c r="F2" s="236" t="s">
        <v>5</v>
      </c>
      <c r="G2" s="236"/>
      <c r="H2" s="236"/>
      <c r="I2" s="236"/>
      <c r="J2" s="236"/>
      <c r="K2" s="227" t="s">
        <v>6</v>
      </c>
    </row>
    <row r="3" spans="1:11" ht="15.75">
      <c r="A3" s="208" t="s">
        <v>7</v>
      </c>
      <c r="B3" s="208" t="s">
        <v>8</v>
      </c>
      <c r="C3" s="93"/>
      <c r="D3" s="93"/>
      <c r="E3" s="228">
        <v>164</v>
      </c>
      <c r="F3" s="229" t="s">
        <v>9</v>
      </c>
      <c r="G3" s="229" t="s">
        <v>10</v>
      </c>
      <c r="H3" s="229" t="s">
        <v>11</v>
      </c>
      <c r="I3" s="229" t="s">
        <v>12</v>
      </c>
      <c r="J3" s="230" t="s">
        <v>13</v>
      </c>
      <c r="K3" s="89" t="s">
        <v>14</v>
      </c>
    </row>
    <row r="4" spans="1:11" ht="15.75">
      <c r="A4" s="209" t="s">
        <v>15</v>
      </c>
      <c r="B4" s="209" t="s">
        <v>15</v>
      </c>
      <c r="C4" s="93"/>
      <c r="D4" s="93"/>
      <c r="E4" s="93"/>
      <c r="F4" s="231" t="s">
        <v>16</v>
      </c>
      <c r="G4" s="231" t="s">
        <v>17</v>
      </c>
      <c r="H4" s="232" t="s">
        <v>18</v>
      </c>
      <c r="I4" s="232" t="s">
        <v>19</v>
      </c>
      <c r="J4" s="233">
        <v>130000</v>
      </c>
      <c r="K4" s="12" t="s">
        <v>20</v>
      </c>
    </row>
    <row r="5" spans="1:11" ht="15.75">
      <c r="A5" s="210">
        <v>101</v>
      </c>
      <c r="B5" s="211">
        <v>74</v>
      </c>
      <c r="C5" s="93"/>
      <c r="D5" s="93"/>
      <c r="E5" s="93"/>
      <c r="F5" s="215" t="s">
        <v>21</v>
      </c>
      <c r="G5" s="215" t="s">
        <v>22</v>
      </c>
      <c r="H5" s="216" t="s">
        <v>15</v>
      </c>
      <c r="I5" s="216" t="s">
        <v>19</v>
      </c>
      <c r="J5" s="217">
        <v>100000</v>
      </c>
      <c r="K5" s="12" t="s">
        <v>23</v>
      </c>
    </row>
    <row r="6" spans="1:11" ht="15.75">
      <c r="A6" s="209" t="s">
        <v>24</v>
      </c>
      <c r="B6" s="209" t="s">
        <v>24</v>
      </c>
      <c r="C6" s="93"/>
      <c r="D6" s="93"/>
      <c r="E6" s="93"/>
      <c r="F6" s="216" t="s">
        <v>25</v>
      </c>
      <c r="G6" s="216" t="s">
        <v>26</v>
      </c>
      <c r="H6" s="216" t="s">
        <v>15</v>
      </c>
      <c r="I6" s="216" t="s">
        <v>27</v>
      </c>
      <c r="J6" s="226">
        <v>100000</v>
      </c>
      <c r="K6" s="12" t="s">
        <v>28</v>
      </c>
    </row>
    <row r="7" spans="1:11" ht="15.75">
      <c r="A7" s="212">
        <v>16</v>
      </c>
      <c r="B7" s="209">
        <v>8</v>
      </c>
      <c r="C7" s="93"/>
      <c r="D7" s="93"/>
      <c r="E7" s="93"/>
      <c r="F7" s="231" t="s">
        <v>29</v>
      </c>
      <c r="G7" s="231" t="s">
        <v>30</v>
      </c>
      <c r="H7" s="232" t="s">
        <v>18</v>
      </c>
      <c r="I7" s="232" t="s">
        <v>31</v>
      </c>
      <c r="J7" s="233">
        <v>100000</v>
      </c>
      <c r="K7" s="12" t="s">
        <v>32</v>
      </c>
    </row>
    <row r="8" spans="1:11" ht="15.75">
      <c r="A8" s="212" t="s">
        <v>33</v>
      </c>
      <c r="B8" s="209" t="s">
        <v>34</v>
      </c>
      <c r="C8" s="93"/>
      <c r="D8" s="93"/>
      <c r="E8" s="93"/>
      <c r="F8" s="231" t="s">
        <v>20</v>
      </c>
      <c r="G8" s="231" t="s">
        <v>30</v>
      </c>
      <c r="H8" s="232" t="s">
        <v>35</v>
      </c>
      <c r="I8" s="232" t="s">
        <v>31</v>
      </c>
      <c r="J8" s="233">
        <v>90000</v>
      </c>
      <c r="K8" s="234" t="s">
        <v>36</v>
      </c>
    </row>
    <row r="9" spans="1:11" ht="15.75">
      <c r="A9" s="93"/>
      <c r="B9" s="93"/>
      <c r="C9" s="93"/>
      <c r="D9" s="93"/>
      <c r="E9" s="93"/>
      <c r="F9" s="231" t="s">
        <v>37</v>
      </c>
      <c r="G9" s="231" t="s">
        <v>30</v>
      </c>
      <c r="H9" s="232" t="s">
        <v>35</v>
      </c>
      <c r="I9" s="232" t="s">
        <v>19</v>
      </c>
      <c r="J9" s="233">
        <v>80000</v>
      </c>
      <c r="K9" s="93"/>
    </row>
    <row r="10" spans="1:11" ht="15.75">
      <c r="A10" s="93"/>
      <c r="B10" s="93"/>
      <c r="C10" s="93"/>
      <c r="D10" s="93"/>
      <c r="E10" s="93"/>
      <c r="F10" s="231" t="s">
        <v>38</v>
      </c>
      <c r="G10" s="231" t="s">
        <v>30</v>
      </c>
      <c r="H10" s="232" t="s">
        <v>35</v>
      </c>
      <c r="I10" s="232" t="s">
        <v>31</v>
      </c>
      <c r="J10" s="233">
        <v>75000</v>
      </c>
      <c r="K10" s="93"/>
    </row>
    <row r="11" spans="1:11" ht="15.75">
      <c r="A11" s="93"/>
      <c r="B11" s="93"/>
      <c r="C11" s="93"/>
      <c r="D11" s="93"/>
      <c r="E11" s="93"/>
      <c r="F11" s="231" t="s">
        <v>39</v>
      </c>
      <c r="G11" s="231" t="s">
        <v>30</v>
      </c>
      <c r="H11" s="232" t="s">
        <v>35</v>
      </c>
      <c r="I11" s="232" t="s">
        <v>19</v>
      </c>
      <c r="J11" s="233">
        <v>75000</v>
      </c>
      <c r="K11" s="93"/>
    </row>
    <row r="12" spans="1:11" ht="15.75">
      <c r="A12" s="93"/>
      <c r="B12" s="93"/>
      <c r="C12" s="93"/>
      <c r="D12" s="93"/>
      <c r="E12" s="93"/>
      <c r="F12" s="231" t="s">
        <v>40</v>
      </c>
      <c r="G12" s="231" t="s">
        <v>30</v>
      </c>
      <c r="H12" s="232" t="s">
        <v>15</v>
      </c>
      <c r="I12" s="232" t="s">
        <v>19</v>
      </c>
      <c r="J12" s="233">
        <v>75000</v>
      </c>
      <c r="K12" s="93"/>
    </row>
    <row r="13" spans="1:11" ht="15.75">
      <c r="A13" s="93"/>
      <c r="B13" s="93"/>
      <c r="C13" s="93"/>
      <c r="D13" s="93"/>
      <c r="E13" s="93"/>
      <c r="F13" s="231" t="s">
        <v>41</v>
      </c>
      <c r="G13" s="231" t="s">
        <v>30</v>
      </c>
      <c r="H13" s="232" t="s">
        <v>35</v>
      </c>
      <c r="I13" s="232" t="s">
        <v>19</v>
      </c>
      <c r="J13" s="233">
        <v>75000</v>
      </c>
      <c r="K13" s="93"/>
    </row>
  </sheetData>
  <mergeCells count="3">
    <mergeCell ref="A2:B2"/>
    <mergeCell ref="F2:J2"/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zoomScale="106" zoomScaleNormal="106" workbookViewId="0">
      <pane ySplit="8" topLeftCell="A64" activePane="bottomLeft" state="frozen"/>
      <selection pane="bottomLeft" activeCell="B142" sqref="B142:B146"/>
    </sheetView>
  </sheetViews>
  <sheetFormatPr defaultColWidth="9.140625" defaultRowHeight="15"/>
  <cols>
    <col min="1" max="1" width="7.42578125" customWidth="1"/>
    <col min="2" max="2" width="42.42578125" customWidth="1"/>
    <col min="3" max="3" width="41" bestFit="1" customWidth="1"/>
    <col min="4" max="4" width="40.85546875" bestFit="1" customWidth="1"/>
    <col min="5" max="5" width="8.140625" bestFit="1" customWidth="1"/>
    <col min="6" max="6" width="13.140625" bestFit="1" customWidth="1"/>
  </cols>
  <sheetData>
    <row r="1" spans="1:7" ht="22.5">
      <c r="A1" s="238" t="s">
        <v>42</v>
      </c>
      <c r="B1" s="238"/>
      <c r="C1" s="238"/>
      <c r="D1" s="238"/>
      <c r="E1" s="238"/>
      <c r="F1" s="238"/>
    </row>
    <row r="2" spans="1:7" ht="22.5">
      <c r="A2" s="238" t="s">
        <v>43</v>
      </c>
      <c r="B2" s="238"/>
      <c r="C2" s="238"/>
      <c r="D2" s="238"/>
      <c r="E2" s="238"/>
      <c r="F2" s="238"/>
    </row>
    <row r="3" spans="1:7" ht="22.5">
      <c r="A3" s="239"/>
      <c r="B3" s="239"/>
      <c r="C3" s="239"/>
      <c r="D3" s="239"/>
      <c r="E3" s="239"/>
      <c r="F3" s="239"/>
    </row>
    <row r="4" spans="1:7">
      <c r="A4" s="1"/>
      <c r="B4" s="1"/>
      <c r="C4" s="1"/>
      <c r="D4" s="1"/>
      <c r="E4" s="1"/>
      <c r="F4" s="1"/>
    </row>
    <row r="5" spans="1:7">
      <c r="A5" s="1"/>
      <c r="B5" s="1"/>
      <c r="C5" s="1"/>
      <c r="D5" s="1"/>
      <c r="E5" s="1"/>
      <c r="F5" s="1"/>
    </row>
    <row r="6" spans="1:7">
      <c r="A6" s="1"/>
      <c r="B6" s="1"/>
      <c r="C6" s="1"/>
      <c r="D6" s="1"/>
      <c r="E6" s="1"/>
      <c r="F6" s="1"/>
    </row>
    <row r="7" spans="1:7" ht="16.5" thickBot="1">
      <c r="A7" s="2"/>
      <c r="B7" s="3"/>
      <c r="C7" s="3"/>
      <c r="D7" s="3"/>
      <c r="E7" s="3"/>
      <c r="F7" s="4"/>
    </row>
    <row r="8" spans="1:7" ht="32.25" thickBot="1">
      <c r="A8" s="5" t="s">
        <v>44</v>
      </c>
      <c r="B8" s="6" t="s">
        <v>9</v>
      </c>
      <c r="C8" s="7" t="s">
        <v>10</v>
      </c>
      <c r="D8" s="7" t="s">
        <v>11</v>
      </c>
      <c r="E8" s="7" t="s">
        <v>12</v>
      </c>
      <c r="F8" s="8" t="s">
        <v>13</v>
      </c>
    </row>
    <row r="9" spans="1:7" ht="19.5" thickBot="1">
      <c r="A9" s="66"/>
      <c r="B9" s="66" t="s">
        <v>45</v>
      </c>
      <c r="C9" s="67"/>
      <c r="D9" s="67"/>
      <c r="E9" s="67"/>
      <c r="F9" s="67"/>
    </row>
    <row r="10" spans="1:7" ht="16.5" thickBot="1">
      <c r="A10" s="96" t="s">
        <v>46</v>
      </c>
      <c r="B10" s="97" t="s">
        <v>47</v>
      </c>
      <c r="C10" s="98" t="s">
        <v>48</v>
      </c>
      <c r="D10" s="99" t="s">
        <v>49</v>
      </c>
      <c r="E10" s="99" t="s">
        <v>31</v>
      </c>
      <c r="F10" s="100">
        <v>225000</v>
      </c>
    </row>
    <row r="11" spans="1:7" ht="16.5" thickBot="1">
      <c r="A11" s="96" t="s">
        <v>50</v>
      </c>
      <c r="B11" s="215" t="s">
        <v>25</v>
      </c>
      <c r="C11" s="215" t="s">
        <v>26</v>
      </c>
      <c r="D11" s="216" t="s">
        <v>15</v>
      </c>
      <c r="E11" s="216" t="s">
        <v>27</v>
      </c>
      <c r="F11" s="217">
        <v>100000</v>
      </c>
    </row>
    <row r="12" spans="1:7" ht="16.5" thickBot="1">
      <c r="A12" s="96" t="s">
        <v>51</v>
      </c>
      <c r="B12" s="89" t="s">
        <v>52</v>
      </c>
      <c r="C12" s="89" t="s">
        <v>53</v>
      </c>
      <c r="D12" s="90" t="s">
        <v>54</v>
      </c>
      <c r="E12" s="92" t="s">
        <v>31</v>
      </c>
      <c r="F12" s="91">
        <v>22500</v>
      </c>
    </row>
    <row r="13" spans="1:7" ht="16.5" thickBot="1">
      <c r="A13" s="96" t="s">
        <v>55</v>
      </c>
      <c r="B13" s="89" t="s">
        <v>56</v>
      </c>
      <c r="C13" s="89" t="s">
        <v>57</v>
      </c>
      <c r="D13" s="92" t="s">
        <v>54</v>
      </c>
      <c r="E13" s="92" t="s">
        <v>31</v>
      </c>
      <c r="F13" s="91">
        <v>25200</v>
      </c>
      <c r="G13" s="71"/>
    </row>
    <row r="14" spans="1:7" ht="16.5" thickBot="1">
      <c r="A14" s="96" t="s">
        <v>58</v>
      </c>
      <c r="B14" s="89" t="s">
        <v>59</v>
      </c>
      <c r="C14" s="89" t="s">
        <v>60</v>
      </c>
      <c r="D14" s="92" t="s">
        <v>54</v>
      </c>
      <c r="E14" s="92" t="s">
        <v>31</v>
      </c>
      <c r="F14" s="91">
        <v>22000</v>
      </c>
      <c r="G14" s="71"/>
    </row>
    <row r="15" spans="1:7" ht="21.75" customHeight="1" thickBot="1">
      <c r="A15" s="96" t="s">
        <v>61</v>
      </c>
      <c r="B15" s="102" t="s">
        <v>62</v>
      </c>
      <c r="C15" s="103" t="s">
        <v>63</v>
      </c>
      <c r="D15" s="104" t="s">
        <v>64</v>
      </c>
      <c r="E15" s="104" t="s">
        <v>31</v>
      </c>
      <c r="F15" s="105">
        <v>16500</v>
      </c>
      <c r="G15" s="71"/>
    </row>
    <row r="16" spans="1:7" ht="16.5" thickBot="1">
      <c r="A16" s="96" t="s">
        <v>65</v>
      </c>
      <c r="B16" s="89" t="s">
        <v>66</v>
      </c>
      <c r="C16" s="89" t="s">
        <v>67</v>
      </c>
      <c r="D16" s="90" t="s">
        <v>15</v>
      </c>
      <c r="E16" s="90" t="s">
        <v>31</v>
      </c>
      <c r="F16" s="91">
        <v>70000</v>
      </c>
    </row>
    <row r="17" spans="1:7" ht="16.5" thickBot="1">
      <c r="A17" s="96" t="s">
        <v>68</v>
      </c>
      <c r="B17" s="215" t="s">
        <v>21</v>
      </c>
      <c r="C17" s="215" t="s">
        <v>22</v>
      </c>
      <c r="D17" s="216" t="s">
        <v>15</v>
      </c>
      <c r="E17" s="216" t="s">
        <v>19</v>
      </c>
      <c r="F17" s="217">
        <v>100000</v>
      </c>
    </row>
    <row r="18" spans="1:7" ht="16.5" thickBot="1">
      <c r="A18" s="96" t="s">
        <v>69</v>
      </c>
      <c r="B18" s="89" t="s">
        <v>70</v>
      </c>
      <c r="C18" s="89" t="s">
        <v>71</v>
      </c>
      <c r="D18" s="90" t="s">
        <v>15</v>
      </c>
      <c r="E18" s="90" t="s">
        <v>19</v>
      </c>
      <c r="F18" s="91">
        <v>50000</v>
      </c>
    </row>
    <row r="19" spans="1:7" ht="16.5" thickBot="1">
      <c r="A19" s="96" t="s">
        <v>72</v>
      </c>
      <c r="B19" s="89" t="s">
        <v>73</v>
      </c>
      <c r="C19" s="89" t="s">
        <v>71</v>
      </c>
      <c r="D19" s="90" t="s">
        <v>15</v>
      </c>
      <c r="E19" s="90" t="s">
        <v>19</v>
      </c>
      <c r="F19" s="91">
        <v>37000</v>
      </c>
    </row>
    <row r="20" spans="1:7" ht="16.5" thickBot="1">
      <c r="A20" s="96" t="s">
        <v>74</v>
      </c>
      <c r="B20" s="89" t="s">
        <v>75</v>
      </c>
      <c r="C20" s="89" t="s">
        <v>76</v>
      </c>
      <c r="D20" s="90" t="s">
        <v>35</v>
      </c>
      <c r="E20" s="90" t="s">
        <v>19</v>
      </c>
      <c r="F20" s="91">
        <v>22000</v>
      </c>
    </row>
    <row r="21" spans="1:7" ht="16.5" thickBot="1">
      <c r="A21" s="20"/>
      <c r="B21" s="21"/>
      <c r="C21" s="22">
        <f>+COUNTA(C10:C20)</f>
        <v>11</v>
      </c>
      <c r="D21" s="23"/>
      <c r="E21" s="24"/>
      <c r="F21" s="25">
        <f>SUM(F10:F20)</f>
        <v>690200</v>
      </c>
      <c r="G21" s="71"/>
    </row>
    <row r="22" spans="1:7" ht="16.5" thickBot="1">
      <c r="A22" s="26"/>
      <c r="B22" s="27"/>
      <c r="C22" s="27"/>
      <c r="D22" s="28"/>
      <c r="E22" s="27"/>
      <c r="F22" s="29"/>
      <c r="G22" s="71"/>
    </row>
    <row r="23" spans="1:7" ht="16.5" thickBot="1">
      <c r="A23" s="49"/>
      <c r="B23" s="49" t="s">
        <v>77</v>
      </c>
      <c r="C23" s="50"/>
      <c r="D23" s="51"/>
      <c r="E23" s="50"/>
      <c r="F23" s="50"/>
      <c r="G23" s="71"/>
    </row>
    <row r="24" spans="1:7" ht="20.100000000000001" customHeight="1" thickBot="1">
      <c r="A24" s="156">
        <v>1</v>
      </c>
      <c r="B24" s="157" t="s">
        <v>78</v>
      </c>
      <c r="C24" s="157" t="s">
        <v>30</v>
      </c>
      <c r="D24" s="158" t="s">
        <v>79</v>
      </c>
      <c r="E24" s="159" t="s">
        <v>31</v>
      </c>
      <c r="F24" s="160">
        <v>110000</v>
      </c>
      <c r="G24" s="71"/>
    </row>
    <row r="25" spans="1:7" ht="15.75">
      <c r="A25" s="156">
        <v>2</v>
      </c>
      <c r="B25" s="81" t="s">
        <v>80</v>
      </c>
      <c r="C25" s="81" t="s">
        <v>81</v>
      </c>
      <c r="D25" s="106" t="s">
        <v>18</v>
      </c>
      <c r="E25" s="106" t="s">
        <v>19</v>
      </c>
      <c r="F25" s="83">
        <v>60000</v>
      </c>
      <c r="G25" s="71"/>
    </row>
    <row r="26" spans="1:7" ht="15.75">
      <c r="A26" s="156">
        <v>3</v>
      </c>
      <c r="B26" s="12" t="s">
        <v>82</v>
      </c>
      <c r="C26" s="9" t="s">
        <v>81</v>
      </c>
      <c r="D26" s="31" t="s">
        <v>18</v>
      </c>
      <c r="E26" s="31" t="s">
        <v>19</v>
      </c>
      <c r="F26" s="14">
        <v>45000</v>
      </c>
      <c r="G26" s="71"/>
    </row>
    <row r="27" spans="1:7" ht="16.5" thickBot="1">
      <c r="A27" s="156">
        <v>4</v>
      </c>
      <c r="B27" s="85" t="s">
        <v>83</v>
      </c>
      <c r="C27" s="85" t="s">
        <v>84</v>
      </c>
      <c r="D27" s="95" t="s">
        <v>64</v>
      </c>
      <c r="E27" s="86" t="s">
        <v>19</v>
      </c>
      <c r="F27" s="87">
        <v>30000</v>
      </c>
      <c r="G27" s="71"/>
    </row>
    <row r="28" spans="1:7" ht="16.5" thickBot="1">
      <c r="A28" s="34"/>
      <c r="B28" s="24"/>
      <c r="C28" s="22">
        <f>+COUNTA(C25:C27)</f>
        <v>3</v>
      </c>
      <c r="D28" s="35"/>
      <c r="E28" s="35"/>
      <c r="F28" s="25">
        <f>SUM(F25:F27)</f>
        <v>135000</v>
      </c>
      <c r="G28" s="71"/>
    </row>
    <row r="29" spans="1:7" ht="15.75">
      <c r="A29" s="36"/>
      <c r="B29" s="37"/>
      <c r="C29" s="37"/>
      <c r="D29" s="38"/>
      <c r="E29" s="38"/>
      <c r="F29" s="37"/>
      <c r="G29" s="71"/>
    </row>
    <row r="30" spans="1:7" ht="16.5" thickBot="1">
      <c r="A30" s="36"/>
      <c r="B30" s="37"/>
      <c r="C30" s="37"/>
      <c r="D30" s="38"/>
      <c r="E30" s="37"/>
      <c r="F30" s="37"/>
      <c r="G30" s="71"/>
    </row>
    <row r="31" spans="1:7" ht="16.5" thickBot="1">
      <c r="A31" s="49"/>
      <c r="B31" s="49" t="s">
        <v>85</v>
      </c>
      <c r="C31" s="50"/>
      <c r="D31" s="51"/>
      <c r="E31" s="50"/>
      <c r="F31" s="50"/>
      <c r="G31" s="71"/>
    </row>
    <row r="32" spans="1:7" ht="15.75">
      <c r="A32" s="80">
        <v>283</v>
      </c>
      <c r="B32" s="81" t="s">
        <v>86</v>
      </c>
      <c r="C32" s="81" t="s">
        <v>30</v>
      </c>
      <c r="D32" s="82" t="s">
        <v>15</v>
      </c>
      <c r="E32" s="82" t="s">
        <v>31</v>
      </c>
      <c r="F32" s="83">
        <v>35000</v>
      </c>
      <c r="G32" s="71"/>
    </row>
    <row r="33" spans="1:7" ht="16.5" thickBot="1">
      <c r="A33" s="84">
        <v>725</v>
      </c>
      <c r="B33" s="85" t="s">
        <v>87</v>
      </c>
      <c r="C33" s="85" t="s">
        <v>88</v>
      </c>
      <c r="D33" s="95" t="s">
        <v>54</v>
      </c>
      <c r="E33" s="86" t="s">
        <v>19</v>
      </c>
      <c r="F33" s="87">
        <v>33000</v>
      </c>
      <c r="G33" s="71"/>
    </row>
    <row r="34" spans="1:7" ht="16.5" thickBot="1">
      <c r="A34" s="34"/>
      <c r="B34" s="24"/>
      <c r="C34" s="22">
        <f>+COUNTA(C32:C33)</f>
        <v>2</v>
      </c>
      <c r="D34" s="35"/>
      <c r="E34" s="35"/>
      <c r="F34" s="25">
        <f t="shared" ref="F34" si="0">SUM(F32:F33)</f>
        <v>68000</v>
      </c>
      <c r="G34" s="71"/>
    </row>
    <row r="35" spans="1:7" ht="16.5" thickBot="1">
      <c r="A35" s="36"/>
      <c r="B35" s="37"/>
      <c r="C35" s="37"/>
      <c r="D35" s="38"/>
      <c r="E35" s="38"/>
      <c r="F35" s="37"/>
      <c r="G35" s="71"/>
    </row>
    <row r="36" spans="1:7" ht="16.5" thickBot="1">
      <c r="A36" s="40"/>
      <c r="B36" s="49" t="s">
        <v>89</v>
      </c>
      <c r="C36" s="50"/>
      <c r="D36" s="51"/>
      <c r="E36" s="51"/>
      <c r="F36" s="50"/>
      <c r="G36" s="71"/>
    </row>
    <row r="37" spans="1:7" ht="15.75">
      <c r="A37" s="112" t="s">
        <v>90</v>
      </c>
      <c r="B37" s="113" t="s">
        <v>91</v>
      </c>
      <c r="C37" s="81" t="s">
        <v>88</v>
      </c>
      <c r="D37" s="88" t="s">
        <v>54</v>
      </c>
      <c r="E37" s="82" t="s">
        <v>19</v>
      </c>
      <c r="F37" s="83">
        <v>33000</v>
      </c>
      <c r="G37" s="71"/>
    </row>
    <row r="38" spans="1:7" ht="16.5" thickBot="1">
      <c r="A38" s="114" t="s">
        <v>92</v>
      </c>
      <c r="B38" s="16" t="s">
        <v>93</v>
      </c>
      <c r="C38" s="17" t="s">
        <v>94</v>
      </c>
      <c r="D38" s="18" t="s">
        <v>15</v>
      </c>
      <c r="E38" s="18" t="s">
        <v>31</v>
      </c>
      <c r="F38" s="19">
        <v>28000</v>
      </c>
      <c r="G38" s="71"/>
    </row>
    <row r="39" spans="1:7" ht="20.100000000000001" customHeight="1">
      <c r="A39" s="170" t="s">
        <v>95</v>
      </c>
      <c r="B39" s="171" t="s">
        <v>96</v>
      </c>
      <c r="C39" s="171" t="s">
        <v>30</v>
      </c>
      <c r="D39" s="158" t="s">
        <v>79</v>
      </c>
      <c r="E39" s="172" t="s">
        <v>19</v>
      </c>
      <c r="F39" s="173">
        <v>90000</v>
      </c>
      <c r="G39" s="71"/>
    </row>
    <row r="40" spans="1:7" ht="16.5" thickBot="1">
      <c r="A40" s="115" t="s">
        <v>97</v>
      </c>
      <c r="B40" s="116" t="s">
        <v>98</v>
      </c>
      <c r="C40" s="85" t="s">
        <v>53</v>
      </c>
      <c r="D40" s="86" t="s">
        <v>15</v>
      </c>
      <c r="E40" s="86" t="s">
        <v>19</v>
      </c>
      <c r="F40" s="87">
        <v>25000</v>
      </c>
      <c r="G40" s="71"/>
    </row>
    <row r="41" spans="1:7" ht="16.5" thickBot="1">
      <c r="A41" s="41"/>
      <c r="B41" s="21"/>
      <c r="C41" s="22">
        <f>+COUNTA(C37:C40)</f>
        <v>4</v>
      </c>
      <c r="D41" s="35"/>
      <c r="E41" s="35"/>
      <c r="F41" s="25">
        <f t="shared" ref="F41" si="1">SUM(F37:F40)</f>
        <v>176000</v>
      </c>
      <c r="G41" s="71"/>
    </row>
    <row r="42" spans="1:7" s="71" customFormat="1" ht="15.75">
      <c r="A42" s="26"/>
      <c r="B42" s="27"/>
      <c r="C42" s="42"/>
      <c r="D42" s="43"/>
      <c r="E42" s="43"/>
      <c r="F42" s="29"/>
    </row>
    <row r="43" spans="1:7" s="71" customFormat="1" ht="15.75">
      <c r="A43" s="26"/>
      <c r="B43" s="27"/>
      <c r="C43" s="42"/>
      <c r="D43" s="43"/>
      <c r="E43" s="43"/>
      <c r="F43" s="29"/>
    </row>
    <row r="44" spans="1:7" s="71" customFormat="1" ht="16.5" thickBot="1">
      <c r="A44" s="26"/>
      <c r="B44" s="27"/>
      <c r="C44" s="42"/>
      <c r="D44" s="43"/>
      <c r="E44" s="43"/>
      <c r="F44" s="29"/>
    </row>
    <row r="45" spans="1:7" ht="16.5" thickBot="1">
      <c r="A45" s="49"/>
      <c r="B45" s="68" t="s">
        <v>99</v>
      </c>
      <c r="C45" s="69"/>
      <c r="D45" s="70"/>
      <c r="E45" s="69"/>
      <c r="F45" s="69"/>
      <c r="G45" s="71"/>
    </row>
    <row r="46" spans="1:7" ht="20.100000000000001" customHeight="1" thickBot="1">
      <c r="A46" s="174" t="s">
        <v>100</v>
      </c>
      <c r="B46" s="175" t="s">
        <v>101</v>
      </c>
      <c r="C46" s="175" t="s">
        <v>30</v>
      </c>
      <c r="D46" s="158" t="s">
        <v>79</v>
      </c>
      <c r="E46" s="176" t="s">
        <v>19</v>
      </c>
      <c r="F46" s="177">
        <v>95000</v>
      </c>
      <c r="G46" s="71"/>
    </row>
    <row r="47" spans="1:7" ht="17.25" customHeight="1">
      <c r="A47" s="117" t="s">
        <v>102</v>
      </c>
      <c r="B47" s="118" t="s">
        <v>103</v>
      </c>
      <c r="C47" s="118" t="s">
        <v>84</v>
      </c>
      <c r="D47" s="119" t="s">
        <v>15</v>
      </c>
      <c r="E47" s="119" t="s">
        <v>19</v>
      </c>
      <c r="F47" s="120">
        <v>30000</v>
      </c>
      <c r="G47" s="71"/>
    </row>
    <row r="48" spans="1:7" ht="16.5" thickBot="1">
      <c r="A48" s="84" t="s">
        <v>104</v>
      </c>
      <c r="B48" s="85" t="s">
        <v>105</v>
      </c>
      <c r="C48" s="85" t="s">
        <v>88</v>
      </c>
      <c r="D48" s="95" t="s">
        <v>54</v>
      </c>
      <c r="E48" s="86" t="s">
        <v>19</v>
      </c>
      <c r="F48" s="87">
        <v>30000</v>
      </c>
      <c r="G48" s="71"/>
    </row>
    <row r="49" spans="1:7" ht="15.75" thickBot="1">
      <c r="A49" s="44"/>
      <c r="B49" s="22"/>
      <c r="C49" s="22">
        <f>+COUNTA(C45:C47)</f>
        <v>2</v>
      </c>
      <c r="D49" s="45"/>
      <c r="E49" s="45"/>
      <c r="F49" s="46">
        <f>SUM(F47:F48)</f>
        <v>60000</v>
      </c>
      <c r="G49" s="71"/>
    </row>
    <row r="50" spans="1:7" ht="16.5" thickBot="1">
      <c r="A50" s="26"/>
      <c r="B50" s="27"/>
      <c r="C50" s="42"/>
      <c r="D50" s="43"/>
      <c r="E50" s="43"/>
      <c r="F50" s="29"/>
      <c r="G50" s="71"/>
    </row>
    <row r="51" spans="1:7" ht="16.5" thickBot="1">
      <c r="A51" s="49"/>
      <c r="B51" s="49" t="s">
        <v>106</v>
      </c>
      <c r="C51" s="50"/>
      <c r="D51" s="51"/>
      <c r="E51" s="51"/>
      <c r="F51" s="50"/>
      <c r="G51" s="71"/>
    </row>
    <row r="52" spans="1:7" ht="20.100000000000001" customHeight="1" thickBot="1">
      <c r="A52" s="179">
        <v>1</v>
      </c>
      <c r="B52" s="157" t="s">
        <v>107</v>
      </c>
      <c r="C52" s="175" t="s">
        <v>30</v>
      </c>
      <c r="D52" s="158" t="s">
        <v>79</v>
      </c>
      <c r="E52" s="180" t="s">
        <v>31</v>
      </c>
      <c r="F52" s="177">
        <v>110000</v>
      </c>
      <c r="G52" s="71"/>
    </row>
    <row r="53" spans="1:7" ht="20.100000000000001" customHeight="1" thickBot="1">
      <c r="A53" s="179">
        <v>2</v>
      </c>
      <c r="B53" s="182" t="s">
        <v>108</v>
      </c>
      <c r="C53" s="182" t="s">
        <v>109</v>
      </c>
      <c r="D53" s="158" t="s">
        <v>79</v>
      </c>
      <c r="E53" s="181" t="s">
        <v>19</v>
      </c>
      <c r="F53" s="178">
        <v>50000</v>
      </c>
      <c r="G53" s="71"/>
    </row>
    <row r="54" spans="1:7" ht="20.100000000000001" customHeight="1" thickBot="1">
      <c r="A54" s="179">
        <v>3</v>
      </c>
      <c r="B54" s="89" t="s">
        <v>110</v>
      </c>
      <c r="C54" s="89" t="s">
        <v>111</v>
      </c>
      <c r="D54" s="158" t="s">
        <v>79</v>
      </c>
      <c r="E54" s="92" t="s">
        <v>19</v>
      </c>
      <c r="F54" s="178">
        <v>50000</v>
      </c>
      <c r="G54" s="71"/>
    </row>
    <row r="55" spans="1:7" ht="20.100000000000001" customHeight="1" thickBot="1">
      <c r="A55" s="179">
        <v>4</v>
      </c>
      <c r="B55" s="171" t="s">
        <v>112</v>
      </c>
      <c r="C55" s="171" t="s">
        <v>113</v>
      </c>
      <c r="D55" s="158" t="s">
        <v>79</v>
      </c>
      <c r="E55" s="172" t="s">
        <v>19</v>
      </c>
      <c r="F55" s="183">
        <v>48000</v>
      </c>
      <c r="G55" s="71"/>
    </row>
    <row r="56" spans="1:7" ht="15.75">
      <c r="A56" s="179">
        <v>5</v>
      </c>
      <c r="B56" s="81" t="s">
        <v>114</v>
      </c>
      <c r="C56" s="81" t="s">
        <v>115</v>
      </c>
      <c r="D56" s="82" t="s">
        <v>35</v>
      </c>
      <c r="E56" s="82" t="s">
        <v>19</v>
      </c>
      <c r="F56" s="83">
        <v>55000</v>
      </c>
      <c r="G56" s="71"/>
    </row>
    <row r="57" spans="1:7" ht="15.75">
      <c r="A57" s="179">
        <v>6</v>
      </c>
      <c r="B57" s="12" t="s">
        <v>116</v>
      </c>
      <c r="C57" s="9" t="s">
        <v>115</v>
      </c>
      <c r="D57" s="15" t="s">
        <v>15</v>
      </c>
      <c r="E57" s="15" t="s">
        <v>19</v>
      </c>
      <c r="F57" s="14">
        <v>50000</v>
      </c>
      <c r="G57" s="71"/>
    </row>
    <row r="58" spans="1:7" ht="15.75">
      <c r="A58" s="179">
        <v>7</v>
      </c>
      <c r="B58" s="47" t="s">
        <v>117</v>
      </c>
      <c r="C58" s="47" t="s">
        <v>118</v>
      </c>
      <c r="D58" s="13" t="s">
        <v>54</v>
      </c>
      <c r="E58" s="13" t="s">
        <v>19</v>
      </c>
      <c r="F58" s="48">
        <v>21500</v>
      </c>
      <c r="G58" s="71"/>
    </row>
    <row r="59" spans="1:7" ht="16.5" thickBot="1">
      <c r="A59" s="179">
        <v>8</v>
      </c>
      <c r="B59" s="85" t="s">
        <v>119</v>
      </c>
      <c r="C59" s="85" t="s">
        <v>120</v>
      </c>
      <c r="D59" s="95" t="s">
        <v>54</v>
      </c>
      <c r="E59" s="86" t="s">
        <v>19</v>
      </c>
      <c r="F59" s="87">
        <v>18130.2</v>
      </c>
      <c r="G59" s="71"/>
    </row>
    <row r="60" spans="1:7" ht="16.5" thickBot="1">
      <c r="A60" s="34"/>
      <c r="B60" s="24"/>
      <c r="C60" s="22">
        <f>+COUNTA(C56:C59)</f>
        <v>4</v>
      </c>
      <c r="D60" s="35"/>
      <c r="E60" s="35"/>
      <c r="F60" s="25">
        <f t="shared" ref="F60" si="2">SUM(F56:F59)</f>
        <v>144630.20000000001</v>
      </c>
      <c r="G60" s="71"/>
    </row>
    <row r="61" spans="1:7" ht="16.5" thickBot="1">
      <c r="A61" s="36"/>
      <c r="B61" s="37"/>
      <c r="C61" s="37"/>
      <c r="D61" s="38"/>
      <c r="E61" s="38"/>
      <c r="F61" s="37"/>
      <c r="G61" s="71"/>
    </row>
    <row r="62" spans="1:7" ht="16.5" thickBot="1">
      <c r="A62" s="72"/>
      <c r="B62" s="72" t="s">
        <v>121</v>
      </c>
      <c r="C62" s="73"/>
      <c r="D62" s="74"/>
      <c r="E62" s="74"/>
      <c r="F62" s="73"/>
      <c r="G62" s="71"/>
    </row>
    <row r="63" spans="1:7" ht="20.100000000000001" customHeight="1" thickBot="1">
      <c r="A63" s="167">
        <v>1</v>
      </c>
      <c r="B63" s="89" t="s">
        <v>122</v>
      </c>
      <c r="C63" s="89" t="s">
        <v>30</v>
      </c>
      <c r="D63" s="158" t="s">
        <v>79</v>
      </c>
      <c r="E63" s="92" t="s">
        <v>31</v>
      </c>
      <c r="F63" s="91">
        <v>100000</v>
      </c>
      <c r="G63" s="71"/>
    </row>
    <row r="64" spans="1:7" ht="20.100000000000001" customHeight="1" thickBot="1">
      <c r="A64" s="167">
        <v>2</v>
      </c>
      <c r="B64" s="171" t="s">
        <v>123</v>
      </c>
      <c r="C64" s="171" t="s">
        <v>124</v>
      </c>
      <c r="D64" s="158" t="s">
        <v>79</v>
      </c>
      <c r="E64" s="172" t="s">
        <v>19</v>
      </c>
      <c r="F64" s="173">
        <v>30000</v>
      </c>
      <c r="G64" s="71"/>
    </row>
    <row r="65" spans="1:7" ht="15.75">
      <c r="A65" s="167">
        <v>3</v>
      </c>
      <c r="B65" s="81" t="s">
        <v>125</v>
      </c>
      <c r="C65" s="81" t="s">
        <v>88</v>
      </c>
      <c r="D65" s="88" t="s">
        <v>54</v>
      </c>
      <c r="E65" s="82" t="s">
        <v>19</v>
      </c>
      <c r="F65" s="83">
        <v>30000</v>
      </c>
      <c r="G65" s="71"/>
    </row>
    <row r="66" spans="1:7" ht="15.75">
      <c r="A66" s="167">
        <v>4</v>
      </c>
      <c r="B66" s="12" t="s">
        <v>126</v>
      </c>
      <c r="C66" s="12" t="s">
        <v>127</v>
      </c>
      <c r="D66" s="15" t="s">
        <v>15</v>
      </c>
      <c r="E66" s="15" t="s">
        <v>31</v>
      </c>
      <c r="F66" s="14">
        <v>40000</v>
      </c>
      <c r="G66" s="71"/>
    </row>
    <row r="67" spans="1:7" ht="15.75">
      <c r="A67" s="167">
        <v>5</v>
      </c>
      <c r="B67" s="12" t="s">
        <v>128</v>
      </c>
      <c r="C67" s="12" t="s">
        <v>127</v>
      </c>
      <c r="D67" s="15" t="s">
        <v>15</v>
      </c>
      <c r="E67" s="15" t="s">
        <v>31</v>
      </c>
      <c r="F67" s="14">
        <v>36000</v>
      </c>
      <c r="G67" s="71"/>
    </row>
    <row r="68" spans="1:7" ht="15.75">
      <c r="A68" s="167">
        <v>6</v>
      </c>
      <c r="B68" s="12" t="s">
        <v>129</v>
      </c>
      <c r="C68" s="12" t="s">
        <v>130</v>
      </c>
      <c r="D68" s="15" t="s">
        <v>15</v>
      </c>
      <c r="E68" s="15" t="s">
        <v>31</v>
      </c>
      <c r="F68" s="14">
        <v>24150</v>
      </c>
      <c r="G68" s="71"/>
    </row>
    <row r="69" spans="1:7" ht="16.5" thickBot="1">
      <c r="A69" s="167">
        <v>7</v>
      </c>
      <c r="B69" s="85" t="s">
        <v>131</v>
      </c>
      <c r="C69" s="85" t="s">
        <v>132</v>
      </c>
      <c r="D69" s="86" t="s">
        <v>15</v>
      </c>
      <c r="E69" s="86" t="s">
        <v>19</v>
      </c>
      <c r="F69" s="87">
        <v>36000</v>
      </c>
      <c r="G69" s="71"/>
    </row>
    <row r="70" spans="1:7" ht="16.5" thickBot="1">
      <c r="A70" s="75"/>
      <c r="B70" s="76"/>
      <c r="C70" s="77">
        <f>+COUNTA(C65:C69)</f>
        <v>5</v>
      </c>
      <c r="D70" s="78"/>
      <c r="E70" s="78"/>
      <c r="F70" s="79">
        <f>SUM(F65:F69)</f>
        <v>166150</v>
      </c>
      <c r="G70" s="71"/>
    </row>
    <row r="71" spans="1:7" ht="16.5" thickBot="1">
      <c r="A71" s="36"/>
      <c r="B71" s="37"/>
      <c r="C71" s="37"/>
      <c r="D71" s="38"/>
      <c r="E71" s="38"/>
      <c r="F71" s="37"/>
      <c r="G71" s="71"/>
    </row>
    <row r="72" spans="1:7" ht="16.5" thickBot="1">
      <c r="A72" s="49"/>
      <c r="B72" s="40" t="s">
        <v>133</v>
      </c>
      <c r="C72" s="50"/>
      <c r="D72" s="51"/>
      <c r="E72" s="51"/>
      <c r="F72" s="50"/>
      <c r="G72" s="71"/>
    </row>
    <row r="73" spans="1:7" ht="20.100000000000001" customHeight="1" thickBot="1">
      <c r="A73" s="187" t="s">
        <v>46</v>
      </c>
      <c r="B73" s="171" t="s">
        <v>134</v>
      </c>
      <c r="C73" s="89" t="s">
        <v>30</v>
      </c>
      <c r="D73" s="158" t="s">
        <v>79</v>
      </c>
      <c r="E73" s="172" t="s">
        <v>19</v>
      </c>
      <c r="F73" s="173">
        <v>50000</v>
      </c>
      <c r="G73" s="71"/>
    </row>
    <row r="74" spans="1:7" ht="16.5" thickBot="1">
      <c r="A74" s="187" t="s">
        <v>50</v>
      </c>
      <c r="B74" s="108" t="s">
        <v>135</v>
      </c>
      <c r="C74" s="108" t="s">
        <v>136</v>
      </c>
      <c r="D74" s="110" t="s">
        <v>15</v>
      </c>
      <c r="E74" s="110" t="s">
        <v>19</v>
      </c>
      <c r="F74" s="111">
        <v>50000</v>
      </c>
      <c r="G74" s="71"/>
    </row>
    <row r="75" spans="1:7" ht="16.5" thickBot="1">
      <c r="A75" s="34"/>
      <c r="B75" s="24"/>
      <c r="C75" s="22">
        <v>2</v>
      </c>
      <c r="D75" s="35"/>
      <c r="E75" s="35"/>
      <c r="F75" s="25">
        <f t="shared" ref="F75" si="3">SUM(F74:F74)</f>
        <v>50000</v>
      </c>
      <c r="G75" s="71"/>
    </row>
    <row r="76" spans="1:7" ht="16.5" thickBot="1">
      <c r="A76" s="36"/>
      <c r="B76" s="37"/>
      <c r="C76" s="37"/>
      <c r="D76" s="38"/>
      <c r="E76" s="38"/>
      <c r="F76" s="37"/>
      <c r="G76" s="71"/>
    </row>
    <row r="77" spans="1:7" ht="16.5" thickBot="1">
      <c r="A77" s="49"/>
      <c r="B77" s="49" t="s">
        <v>137</v>
      </c>
      <c r="C77" s="50"/>
      <c r="D77" s="51"/>
      <c r="E77" s="51"/>
      <c r="F77" s="50"/>
      <c r="G77" s="71"/>
    </row>
    <row r="78" spans="1:7" ht="20.100000000000001" customHeight="1">
      <c r="A78" s="174">
        <v>1</v>
      </c>
      <c r="B78" s="175" t="s">
        <v>138</v>
      </c>
      <c r="C78" s="175" t="s">
        <v>30</v>
      </c>
      <c r="D78" s="158" t="s">
        <v>79</v>
      </c>
      <c r="E78" s="176" t="s">
        <v>31</v>
      </c>
      <c r="F78" s="177">
        <v>110000</v>
      </c>
      <c r="G78" s="71"/>
    </row>
    <row r="79" spans="1:7" ht="16.5" thickBot="1">
      <c r="A79" s="174">
        <v>2</v>
      </c>
      <c r="B79" s="12" t="s">
        <v>139</v>
      </c>
      <c r="C79" s="12" t="s">
        <v>53</v>
      </c>
      <c r="D79" s="13" t="s">
        <v>54</v>
      </c>
      <c r="E79" s="15" t="s">
        <v>31</v>
      </c>
      <c r="F79" s="55">
        <v>35000</v>
      </c>
      <c r="G79" s="71"/>
    </row>
    <row r="80" spans="1:7" ht="15.75">
      <c r="A80" s="174">
        <v>3</v>
      </c>
      <c r="B80" s="81" t="s">
        <v>140</v>
      </c>
      <c r="C80" s="81" t="s">
        <v>53</v>
      </c>
      <c r="D80" s="88" t="s">
        <v>54</v>
      </c>
      <c r="E80" s="82" t="s">
        <v>19</v>
      </c>
      <c r="F80" s="121">
        <v>30000</v>
      </c>
      <c r="G80" s="71"/>
    </row>
    <row r="81" spans="1:7" ht="15.75">
      <c r="A81" s="174">
        <v>4</v>
      </c>
      <c r="B81" s="52" t="s">
        <v>141</v>
      </c>
      <c r="C81" s="52" t="s">
        <v>88</v>
      </c>
      <c r="D81" s="53" t="s">
        <v>142</v>
      </c>
      <c r="E81" s="53" t="s">
        <v>19</v>
      </c>
      <c r="F81" s="54">
        <v>31500</v>
      </c>
      <c r="G81" s="71"/>
    </row>
    <row r="82" spans="1:7" ht="15.75">
      <c r="A82" s="174">
        <v>5</v>
      </c>
      <c r="B82" s="12" t="s">
        <v>143</v>
      </c>
      <c r="C82" s="12" t="s">
        <v>88</v>
      </c>
      <c r="D82" s="13" t="s">
        <v>54</v>
      </c>
      <c r="E82" s="15" t="s">
        <v>19</v>
      </c>
      <c r="F82" s="14">
        <v>31500</v>
      </c>
      <c r="G82" s="71"/>
    </row>
    <row r="83" spans="1:7" ht="16.5" thickBot="1">
      <c r="A83" s="174">
        <v>6</v>
      </c>
      <c r="B83" s="85" t="s">
        <v>144</v>
      </c>
      <c r="C83" s="85" t="s">
        <v>145</v>
      </c>
      <c r="D83" s="95" t="s">
        <v>54</v>
      </c>
      <c r="E83" s="86" t="s">
        <v>19</v>
      </c>
      <c r="F83" s="87">
        <v>18000</v>
      </c>
      <c r="G83" s="71"/>
    </row>
    <row r="84" spans="1:7" ht="16.5" thickBot="1">
      <c r="A84" s="34"/>
      <c r="B84" s="24"/>
      <c r="C84" s="22">
        <v>6</v>
      </c>
      <c r="D84" s="35"/>
      <c r="E84" s="35"/>
      <c r="F84" s="25">
        <f>SUM(F80:F83)</f>
        <v>111000</v>
      </c>
      <c r="G84" s="71"/>
    </row>
    <row r="85" spans="1:7" ht="16.5" thickBot="1">
      <c r="A85" s="36"/>
      <c r="B85" s="37"/>
      <c r="C85" s="37"/>
      <c r="D85" s="38"/>
      <c r="E85" s="38"/>
      <c r="F85" s="37"/>
      <c r="G85" s="71"/>
    </row>
    <row r="86" spans="1:7" ht="16.5" thickBot="1">
      <c r="A86" s="49"/>
      <c r="B86" s="49" t="s">
        <v>146</v>
      </c>
      <c r="C86" s="50"/>
      <c r="D86" s="51"/>
      <c r="E86" s="51"/>
      <c r="F86" s="50"/>
      <c r="G86" s="71"/>
    </row>
    <row r="87" spans="1:7" s="71" customFormat="1" ht="20.100000000000001" customHeight="1" thickBot="1">
      <c r="A87" s="188" t="s">
        <v>147</v>
      </c>
      <c r="B87" s="103" t="s">
        <v>148</v>
      </c>
      <c r="C87" s="103" t="s">
        <v>149</v>
      </c>
      <c r="D87" s="158" t="s">
        <v>79</v>
      </c>
      <c r="E87" s="104" t="s">
        <v>19</v>
      </c>
      <c r="F87" s="189">
        <v>60000</v>
      </c>
    </row>
    <row r="88" spans="1:7" ht="15.75">
      <c r="A88" s="218" t="s">
        <v>150</v>
      </c>
      <c r="B88" s="219" t="s">
        <v>37</v>
      </c>
      <c r="C88" s="219" t="s">
        <v>30</v>
      </c>
      <c r="D88" s="220" t="s">
        <v>35</v>
      </c>
      <c r="E88" s="220" t="s">
        <v>19</v>
      </c>
      <c r="F88" s="221">
        <v>80000</v>
      </c>
      <c r="G88" s="71"/>
    </row>
    <row r="89" spans="1:7" ht="16.5" thickBot="1">
      <c r="A89" s="122">
        <v>773</v>
      </c>
      <c r="B89" s="85" t="s">
        <v>151</v>
      </c>
      <c r="C89" s="123" t="s">
        <v>152</v>
      </c>
      <c r="D89" s="86" t="s">
        <v>35</v>
      </c>
      <c r="E89" s="86" t="s">
        <v>19</v>
      </c>
      <c r="F89" s="87">
        <v>36000</v>
      </c>
      <c r="G89" s="71"/>
    </row>
    <row r="90" spans="1:7" ht="16.5" thickBot="1">
      <c r="A90" s="34"/>
      <c r="B90" s="24"/>
      <c r="C90" s="22">
        <f>+COUNTA(C88:C89)</f>
        <v>2</v>
      </c>
      <c r="D90" s="35"/>
      <c r="E90" s="35"/>
      <c r="F90" s="25">
        <f>SUM(F88:F89)</f>
        <v>116000</v>
      </c>
      <c r="G90" s="71"/>
    </row>
    <row r="91" spans="1:7" ht="15.75">
      <c r="A91" s="26"/>
      <c r="B91" s="27"/>
      <c r="C91" s="42"/>
      <c r="D91" s="43"/>
      <c r="E91" s="43"/>
      <c r="F91" s="29"/>
      <c r="G91" s="71"/>
    </row>
    <row r="92" spans="1:7" ht="15.75">
      <c r="A92" s="26"/>
      <c r="B92" s="27"/>
      <c r="C92" s="42"/>
      <c r="D92" s="43"/>
      <c r="E92" s="43"/>
      <c r="F92" s="29"/>
      <c r="G92" s="71"/>
    </row>
    <row r="93" spans="1:7" ht="15.75">
      <c r="A93" s="26"/>
      <c r="B93" s="27"/>
      <c r="C93" s="42"/>
      <c r="D93" s="43"/>
      <c r="E93" s="43"/>
      <c r="F93" s="29"/>
      <c r="G93" s="71"/>
    </row>
    <row r="94" spans="1:7" ht="15.75">
      <c r="A94" s="26"/>
      <c r="B94" s="27"/>
      <c r="C94" s="42"/>
      <c r="D94" s="43"/>
      <c r="E94" s="43"/>
      <c r="F94" s="29"/>
      <c r="G94" s="71"/>
    </row>
    <row r="95" spans="1:7" ht="16.5" thickBot="1">
      <c r="A95" s="26"/>
      <c r="B95" s="27"/>
      <c r="C95" s="42"/>
      <c r="D95" s="43"/>
      <c r="E95" s="43"/>
      <c r="F95" s="29"/>
      <c r="G95" s="71"/>
    </row>
    <row r="96" spans="1:7" ht="16.5" thickBot="1">
      <c r="A96" s="49"/>
      <c r="B96" s="49" t="s">
        <v>153</v>
      </c>
      <c r="C96" s="50"/>
      <c r="D96" s="51"/>
      <c r="E96" s="51"/>
      <c r="F96" s="50"/>
      <c r="G96" s="71"/>
    </row>
    <row r="97" spans="1:7" ht="15.75">
      <c r="A97" s="80" t="s">
        <v>154</v>
      </c>
      <c r="B97" s="81" t="s">
        <v>155</v>
      </c>
      <c r="C97" s="81" t="s">
        <v>30</v>
      </c>
      <c r="D97" s="82" t="s">
        <v>15</v>
      </c>
      <c r="E97" s="82" t="s">
        <v>31</v>
      </c>
      <c r="F97" s="83">
        <v>50000</v>
      </c>
      <c r="G97" s="71"/>
    </row>
    <row r="98" spans="1:7" ht="15.75">
      <c r="A98" s="30" t="s">
        <v>156</v>
      </c>
      <c r="B98" s="12" t="s">
        <v>157</v>
      </c>
      <c r="C98" s="12" t="s">
        <v>158</v>
      </c>
      <c r="D98" s="15" t="s">
        <v>35</v>
      </c>
      <c r="E98" s="15" t="s">
        <v>19</v>
      </c>
      <c r="F98" s="14">
        <v>31500</v>
      </c>
      <c r="G98" s="71"/>
    </row>
    <row r="99" spans="1:7" ht="16.5" thickBot="1">
      <c r="A99" s="84" t="s">
        <v>159</v>
      </c>
      <c r="B99" s="123" t="s">
        <v>160</v>
      </c>
      <c r="C99" s="85" t="s">
        <v>161</v>
      </c>
      <c r="D99" s="95" t="s">
        <v>54</v>
      </c>
      <c r="E99" s="124" t="s">
        <v>31</v>
      </c>
      <c r="F99" s="125">
        <v>26250</v>
      </c>
      <c r="G99" s="71"/>
    </row>
    <row r="100" spans="1:7" ht="16.5" thickBot="1">
      <c r="A100" s="34"/>
      <c r="B100" s="24"/>
      <c r="C100" s="22">
        <f>+COUNTA(C97:C99)</f>
        <v>3</v>
      </c>
      <c r="D100" s="35"/>
      <c r="E100" s="35"/>
      <c r="F100" s="25">
        <f t="shared" ref="F100" si="4">SUM(F97:F99)</f>
        <v>107750</v>
      </c>
      <c r="G100" s="71"/>
    </row>
    <row r="101" spans="1:7" ht="16.5" thickBot="1">
      <c r="A101" s="26"/>
      <c r="B101" s="27"/>
      <c r="C101" s="42"/>
      <c r="D101" s="43"/>
      <c r="E101" s="43"/>
      <c r="F101" s="29"/>
      <c r="G101" s="71"/>
    </row>
    <row r="102" spans="1:7" ht="16.5" thickBot="1">
      <c r="A102" s="49"/>
      <c r="B102" s="49" t="s">
        <v>162</v>
      </c>
      <c r="C102" s="50"/>
      <c r="D102" s="51"/>
      <c r="E102" s="51"/>
      <c r="F102" s="50"/>
      <c r="G102" s="71"/>
    </row>
    <row r="103" spans="1:7" ht="20.100000000000001" customHeight="1" thickBot="1">
      <c r="A103" s="190" t="s">
        <v>163</v>
      </c>
      <c r="B103" s="171" t="s">
        <v>164</v>
      </c>
      <c r="C103" s="171" t="s">
        <v>30</v>
      </c>
      <c r="D103" s="158" t="s">
        <v>79</v>
      </c>
      <c r="E103" s="172" t="s">
        <v>31</v>
      </c>
      <c r="F103" s="173">
        <v>70000</v>
      </c>
      <c r="G103" s="71"/>
    </row>
    <row r="104" spans="1:7" ht="16.5" thickBot="1">
      <c r="A104" s="107" t="s">
        <v>165</v>
      </c>
      <c r="B104" s="108" t="s">
        <v>166</v>
      </c>
      <c r="C104" s="108" t="s">
        <v>167</v>
      </c>
      <c r="D104" s="110" t="s">
        <v>35</v>
      </c>
      <c r="E104" s="110" t="s">
        <v>168</v>
      </c>
      <c r="F104" s="111">
        <v>48000</v>
      </c>
      <c r="G104" s="71"/>
    </row>
    <row r="105" spans="1:7" ht="16.5" thickBot="1">
      <c r="A105" s="34"/>
      <c r="B105" s="24"/>
      <c r="C105" s="22">
        <f>+COUNTA(C102:C104)</f>
        <v>2</v>
      </c>
      <c r="D105" s="35"/>
      <c r="E105" s="35"/>
      <c r="F105" s="25">
        <f t="shared" ref="F105" si="5">SUM(F104)</f>
        <v>48000</v>
      </c>
      <c r="G105" s="71"/>
    </row>
    <row r="106" spans="1:7" ht="16.5" thickBot="1">
      <c r="A106" s="26"/>
      <c r="B106" s="27"/>
      <c r="C106" s="42"/>
      <c r="D106" s="43"/>
      <c r="E106" s="43"/>
      <c r="F106" s="29"/>
      <c r="G106" s="71"/>
    </row>
    <row r="107" spans="1:7" ht="16.5" thickBot="1">
      <c r="A107" s="49"/>
      <c r="B107" s="49" t="s">
        <v>169</v>
      </c>
      <c r="C107" s="50"/>
      <c r="D107" s="51"/>
      <c r="E107" s="51"/>
      <c r="F107" s="50"/>
      <c r="G107" s="71"/>
    </row>
    <row r="108" spans="1:7" ht="20.100000000000001" customHeight="1" thickBot="1">
      <c r="A108" s="174" t="s">
        <v>170</v>
      </c>
      <c r="B108" s="175" t="s">
        <v>171</v>
      </c>
      <c r="C108" s="171" t="s">
        <v>30</v>
      </c>
      <c r="D108" s="158" t="s">
        <v>79</v>
      </c>
      <c r="E108" s="194" t="s">
        <v>31</v>
      </c>
      <c r="F108" s="177">
        <v>70000</v>
      </c>
      <c r="G108" s="71"/>
    </row>
    <row r="109" spans="1:7" ht="15.75">
      <c r="A109" s="80" t="s">
        <v>172</v>
      </c>
      <c r="B109" s="81" t="s">
        <v>173</v>
      </c>
      <c r="C109" s="81" t="s">
        <v>174</v>
      </c>
      <c r="D109" s="82" t="s">
        <v>54</v>
      </c>
      <c r="E109" s="82" t="s">
        <v>31</v>
      </c>
      <c r="F109" s="83">
        <v>35000</v>
      </c>
      <c r="G109" s="71"/>
    </row>
    <row r="110" spans="1:7" ht="15.75">
      <c r="A110" s="30" t="s">
        <v>175</v>
      </c>
      <c r="B110" s="12" t="s">
        <v>176</v>
      </c>
      <c r="C110" s="12" t="s">
        <v>177</v>
      </c>
      <c r="D110" s="15" t="s">
        <v>54</v>
      </c>
      <c r="E110" s="15" t="s">
        <v>31</v>
      </c>
      <c r="F110" s="14">
        <v>40000</v>
      </c>
      <c r="G110" s="71"/>
    </row>
    <row r="111" spans="1:7" ht="15.75">
      <c r="A111" s="30" t="s">
        <v>178</v>
      </c>
      <c r="B111" s="12" t="s">
        <v>179</v>
      </c>
      <c r="C111" s="12" t="s">
        <v>84</v>
      </c>
      <c r="D111" s="13" t="s">
        <v>54</v>
      </c>
      <c r="E111" s="15" t="s">
        <v>19</v>
      </c>
      <c r="F111" s="14">
        <v>30000</v>
      </c>
      <c r="G111" s="71"/>
    </row>
    <row r="112" spans="1:7" ht="15.75">
      <c r="A112" s="30" t="s">
        <v>180</v>
      </c>
      <c r="B112" s="12" t="s">
        <v>181</v>
      </c>
      <c r="C112" s="12" t="s">
        <v>182</v>
      </c>
      <c r="D112" s="15" t="s">
        <v>54</v>
      </c>
      <c r="E112" s="15" t="s">
        <v>31</v>
      </c>
      <c r="F112" s="14">
        <v>15400</v>
      </c>
      <c r="G112" s="71"/>
    </row>
    <row r="113" spans="1:7" ht="15.75">
      <c r="A113" s="30" t="s">
        <v>183</v>
      </c>
      <c r="B113" s="12" t="s">
        <v>184</v>
      </c>
      <c r="C113" s="12" t="s">
        <v>182</v>
      </c>
      <c r="D113" s="15" t="s">
        <v>54</v>
      </c>
      <c r="E113" s="15" t="s">
        <v>31</v>
      </c>
      <c r="F113" s="14">
        <v>20000</v>
      </c>
      <c r="G113" s="71"/>
    </row>
    <row r="114" spans="1:7" ht="15.75">
      <c r="A114" s="30" t="s">
        <v>185</v>
      </c>
      <c r="B114" s="12" t="s">
        <v>186</v>
      </c>
      <c r="C114" s="12" t="s">
        <v>182</v>
      </c>
      <c r="D114" s="15" t="s">
        <v>54</v>
      </c>
      <c r="E114" s="15" t="s">
        <v>31</v>
      </c>
      <c r="F114" s="14">
        <v>18700</v>
      </c>
      <c r="G114" s="71"/>
    </row>
    <row r="115" spans="1:7" ht="15.75">
      <c r="A115" s="30" t="s">
        <v>187</v>
      </c>
      <c r="B115" s="12" t="s">
        <v>188</v>
      </c>
      <c r="C115" s="12" t="s">
        <v>182</v>
      </c>
      <c r="D115" s="15" t="s">
        <v>54</v>
      </c>
      <c r="E115" s="15" t="s">
        <v>31</v>
      </c>
      <c r="F115" s="14">
        <v>15400</v>
      </c>
      <c r="G115" s="71"/>
    </row>
    <row r="116" spans="1:7" ht="15.75">
      <c r="A116" s="30" t="s">
        <v>189</v>
      </c>
      <c r="B116" s="12" t="s">
        <v>190</v>
      </c>
      <c r="C116" s="12" t="s">
        <v>191</v>
      </c>
      <c r="D116" s="15" t="s">
        <v>54</v>
      </c>
      <c r="E116" s="15" t="s">
        <v>31</v>
      </c>
      <c r="F116" s="14">
        <v>22000</v>
      </c>
      <c r="G116" s="71"/>
    </row>
    <row r="117" spans="1:7" ht="15.75">
      <c r="A117" s="30" t="s">
        <v>192</v>
      </c>
      <c r="B117" s="12" t="s">
        <v>193</v>
      </c>
      <c r="C117" s="12" t="s">
        <v>194</v>
      </c>
      <c r="D117" s="15" t="s">
        <v>54</v>
      </c>
      <c r="E117" s="15" t="s">
        <v>19</v>
      </c>
      <c r="F117" s="14">
        <v>15400</v>
      </c>
      <c r="G117" s="71"/>
    </row>
    <row r="118" spans="1:7" ht="15.75">
      <c r="A118" s="30" t="s">
        <v>195</v>
      </c>
      <c r="B118" s="12" t="s">
        <v>196</v>
      </c>
      <c r="C118" s="12" t="s">
        <v>194</v>
      </c>
      <c r="D118" s="15" t="s">
        <v>35</v>
      </c>
      <c r="E118" s="15" t="s">
        <v>19</v>
      </c>
      <c r="F118" s="14">
        <v>20400</v>
      </c>
      <c r="G118" s="71"/>
    </row>
    <row r="119" spans="1:7" ht="15.75">
      <c r="A119" s="30" t="s">
        <v>197</v>
      </c>
      <c r="B119" s="12" t="s">
        <v>198</v>
      </c>
      <c r="C119" s="12" t="s">
        <v>194</v>
      </c>
      <c r="D119" s="15" t="s">
        <v>54</v>
      </c>
      <c r="E119" s="15" t="s">
        <v>19</v>
      </c>
      <c r="F119" s="14">
        <v>15400</v>
      </c>
      <c r="G119" s="71"/>
    </row>
    <row r="120" spans="1:7" ht="15.75">
      <c r="A120" s="30" t="s">
        <v>199</v>
      </c>
      <c r="B120" s="12" t="s">
        <v>200</v>
      </c>
      <c r="C120" s="12" t="s">
        <v>194</v>
      </c>
      <c r="D120" s="15" t="s">
        <v>54</v>
      </c>
      <c r="E120" s="15" t="s">
        <v>19</v>
      </c>
      <c r="F120" s="14">
        <v>15400</v>
      </c>
      <c r="G120" s="71"/>
    </row>
    <row r="121" spans="1:7" ht="15.75">
      <c r="A121" s="30" t="s">
        <v>201</v>
      </c>
      <c r="B121" s="12" t="s">
        <v>202</v>
      </c>
      <c r="C121" s="12" t="s">
        <v>194</v>
      </c>
      <c r="D121" s="15" t="s">
        <v>54</v>
      </c>
      <c r="E121" s="15" t="s">
        <v>19</v>
      </c>
      <c r="F121" s="14">
        <v>15400</v>
      </c>
      <c r="G121" s="71"/>
    </row>
    <row r="122" spans="1:7" ht="15.75">
      <c r="A122" s="30" t="s">
        <v>46</v>
      </c>
      <c r="B122" s="12" t="s">
        <v>203</v>
      </c>
      <c r="C122" s="12" t="s">
        <v>194</v>
      </c>
      <c r="D122" s="15" t="s">
        <v>54</v>
      </c>
      <c r="E122" s="15" t="s">
        <v>19</v>
      </c>
      <c r="F122" s="14">
        <v>15400</v>
      </c>
      <c r="G122" s="71"/>
    </row>
    <row r="123" spans="1:7" ht="15.75">
      <c r="A123" s="30" t="s">
        <v>50</v>
      </c>
      <c r="B123" s="12" t="s">
        <v>204</v>
      </c>
      <c r="C123" s="12" t="s">
        <v>194</v>
      </c>
      <c r="D123" s="15" t="s">
        <v>54</v>
      </c>
      <c r="E123" s="15" t="s">
        <v>31</v>
      </c>
      <c r="F123" s="14">
        <v>15400</v>
      </c>
      <c r="G123" s="71"/>
    </row>
    <row r="124" spans="1:7" ht="31.5">
      <c r="A124" s="30" t="s">
        <v>51</v>
      </c>
      <c r="B124" s="207" t="s">
        <v>205</v>
      </c>
      <c r="C124" s="12" t="s">
        <v>194</v>
      </c>
      <c r="D124" s="15" t="s">
        <v>54</v>
      </c>
      <c r="E124" s="15" t="s">
        <v>31</v>
      </c>
      <c r="F124" s="14">
        <v>15401</v>
      </c>
      <c r="G124" s="71"/>
    </row>
    <row r="125" spans="1:7" ht="15.75">
      <c r="A125" s="30" t="s">
        <v>55</v>
      </c>
      <c r="B125" s="12" t="s">
        <v>206</v>
      </c>
      <c r="C125" s="12" t="s">
        <v>194</v>
      </c>
      <c r="D125" s="15" t="s">
        <v>54</v>
      </c>
      <c r="E125" s="15" t="s">
        <v>19</v>
      </c>
      <c r="F125" s="14">
        <v>15400</v>
      </c>
      <c r="G125" s="71"/>
    </row>
    <row r="126" spans="1:7" ht="15.75">
      <c r="A126" s="30" t="s">
        <v>58</v>
      </c>
      <c r="B126" s="17" t="s">
        <v>207</v>
      </c>
      <c r="C126" s="17" t="s">
        <v>194</v>
      </c>
      <c r="D126" s="18" t="s">
        <v>54</v>
      </c>
      <c r="E126" s="18" t="s">
        <v>19</v>
      </c>
      <c r="F126" s="19">
        <v>15400</v>
      </c>
      <c r="G126" s="71"/>
    </row>
    <row r="127" spans="1:7" ht="15.75">
      <c r="A127" s="30" t="s">
        <v>61</v>
      </c>
      <c r="B127" s="17" t="s">
        <v>208</v>
      </c>
      <c r="C127" s="17" t="s">
        <v>194</v>
      </c>
      <c r="D127" s="18" t="s">
        <v>54</v>
      </c>
      <c r="E127" s="18" t="s">
        <v>19</v>
      </c>
      <c r="F127" s="19">
        <v>15400</v>
      </c>
      <c r="G127" s="71"/>
    </row>
    <row r="128" spans="1:7" ht="15.75">
      <c r="A128" s="30" t="s">
        <v>65</v>
      </c>
      <c r="B128" s="93" t="s">
        <v>209</v>
      </c>
      <c r="C128" s="93" t="s">
        <v>194</v>
      </c>
      <c r="D128" s="18" t="s">
        <v>54</v>
      </c>
      <c r="E128" s="94" t="s">
        <v>19</v>
      </c>
      <c r="F128" s="14">
        <v>15400</v>
      </c>
      <c r="G128" s="71"/>
    </row>
    <row r="129" spans="1:7" ht="15.75">
      <c r="A129" s="30" t="s">
        <v>68</v>
      </c>
      <c r="B129" s="9" t="s">
        <v>210</v>
      </c>
      <c r="C129" s="9" t="s">
        <v>57</v>
      </c>
      <c r="D129" s="15" t="s">
        <v>54</v>
      </c>
      <c r="E129" s="39" t="s">
        <v>31</v>
      </c>
      <c r="F129" s="14">
        <v>25000</v>
      </c>
      <c r="G129" s="71"/>
    </row>
    <row r="130" spans="1:7" ht="15.75">
      <c r="A130" s="30" t="s">
        <v>69</v>
      </c>
      <c r="B130" s="12" t="s">
        <v>211</v>
      </c>
      <c r="C130" s="12" t="s">
        <v>57</v>
      </c>
      <c r="D130" s="15" t="s">
        <v>54</v>
      </c>
      <c r="E130" s="15" t="s">
        <v>31</v>
      </c>
      <c r="F130" s="14">
        <v>25000</v>
      </c>
      <c r="G130" s="71"/>
    </row>
    <row r="131" spans="1:7" ht="16.5" thickBot="1">
      <c r="A131" s="30" t="s">
        <v>72</v>
      </c>
      <c r="B131" s="17" t="s">
        <v>212</v>
      </c>
      <c r="C131" s="17" t="s">
        <v>213</v>
      </c>
      <c r="D131" s="18" t="s">
        <v>54</v>
      </c>
      <c r="E131" s="18" t="s">
        <v>31</v>
      </c>
      <c r="F131" s="19">
        <v>25000</v>
      </c>
      <c r="G131" s="71"/>
    </row>
    <row r="132" spans="1:7" ht="16.5" thickBot="1">
      <c r="A132" s="34"/>
      <c r="B132" s="24"/>
      <c r="C132" s="22">
        <f>+COUNTA(C109:C131)</f>
        <v>23</v>
      </c>
      <c r="D132" s="35"/>
      <c r="E132" s="35"/>
      <c r="F132" s="25">
        <f>SUM(F109:F131)</f>
        <v>461301</v>
      </c>
      <c r="G132" s="71"/>
    </row>
    <row r="133" spans="1:7" ht="16.5" thickBot="1">
      <c r="A133" s="36"/>
      <c r="B133" s="37"/>
      <c r="C133" s="37"/>
      <c r="D133" s="38"/>
      <c r="E133" s="38"/>
      <c r="F133" s="37"/>
      <c r="G133" s="71"/>
    </row>
    <row r="134" spans="1:7" ht="16.5" thickBot="1">
      <c r="A134" s="49"/>
      <c r="B134" s="49" t="s">
        <v>214</v>
      </c>
      <c r="C134" s="50"/>
      <c r="D134" s="51"/>
      <c r="E134" s="51"/>
      <c r="F134" s="50"/>
      <c r="G134" s="71"/>
    </row>
    <row r="135" spans="1:7" ht="15.75">
      <c r="A135" s="126" t="s">
        <v>215</v>
      </c>
      <c r="B135" s="127" t="s">
        <v>216</v>
      </c>
      <c r="C135" s="127" t="s">
        <v>217</v>
      </c>
      <c r="D135" s="128" t="s">
        <v>15</v>
      </c>
      <c r="E135" s="128" t="s">
        <v>19</v>
      </c>
      <c r="F135" s="129">
        <v>32000</v>
      </c>
      <c r="G135" s="71"/>
    </row>
    <row r="136" spans="1:7" ht="15.75">
      <c r="A136" s="56" t="s">
        <v>218</v>
      </c>
      <c r="B136" s="57" t="s">
        <v>219</v>
      </c>
      <c r="C136" s="57" t="s">
        <v>220</v>
      </c>
      <c r="D136" s="13" t="s">
        <v>54</v>
      </c>
      <c r="E136" s="58" t="s">
        <v>31</v>
      </c>
      <c r="F136" s="59">
        <v>20000</v>
      </c>
      <c r="G136" s="71"/>
    </row>
    <row r="137" spans="1:7" ht="15.75">
      <c r="A137" s="56" t="s">
        <v>221</v>
      </c>
      <c r="B137" s="57" t="s">
        <v>222</v>
      </c>
      <c r="C137" s="57" t="s">
        <v>220</v>
      </c>
      <c r="D137" s="13" t="s">
        <v>54</v>
      </c>
      <c r="E137" s="58" t="s">
        <v>31</v>
      </c>
      <c r="F137" s="59">
        <v>20000</v>
      </c>
      <c r="G137" s="71"/>
    </row>
    <row r="138" spans="1:7" ht="16.5" thickBot="1">
      <c r="A138" s="84" t="s">
        <v>223</v>
      </c>
      <c r="B138" s="85" t="s">
        <v>224</v>
      </c>
      <c r="C138" s="85" t="s">
        <v>220</v>
      </c>
      <c r="D138" s="95" t="s">
        <v>54</v>
      </c>
      <c r="E138" s="86" t="s">
        <v>31</v>
      </c>
      <c r="F138" s="87">
        <v>22000</v>
      </c>
      <c r="G138" s="71"/>
    </row>
    <row r="139" spans="1:7" ht="16.5" thickBot="1">
      <c r="A139" s="34"/>
      <c r="B139" s="24"/>
      <c r="C139" s="22">
        <f>+COUNTA(C135:C138)</f>
        <v>4</v>
      </c>
      <c r="D139" s="35"/>
      <c r="E139" s="35"/>
      <c r="F139" s="25">
        <f>SUM(F135:F138)</f>
        <v>94000</v>
      </c>
      <c r="G139" s="71"/>
    </row>
    <row r="140" spans="1:7" ht="16.5" thickBot="1">
      <c r="A140" s="26"/>
      <c r="B140" s="27"/>
      <c r="C140" s="42"/>
      <c r="D140" s="43"/>
      <c r="E140" s="43"/>
      <c r="F140" s="29"/>
      <c r="G140" s="71"/>
    </row>
    <row r="141" spans="1:7" ht="16.5" thickBot="1">
      <c r="A141" s="49"/>
      <c r="B141" s="49" t="s">
        <v>225</v>
      </c>
      <c r="C141" s="50"/>
      <c r="D141" s="51"/>
      <c r="E141" s="51"/>
      <c r="F141" s="50"/>
      <c r="G141" s="71"/>
    </row>
    <row r="142" spans="1:7" ht="20.100000000000001" customHeight="1" thickBot="1">
      <c r="A142" s="101" t="s">
        <v>226</v>
      </c>
      <c r="B142" s="89" t="s">
        <v>14</v>
      </c>
      <c r="C142" s="89" t="s">
        <v>227</v>
      </c>
      <c r="D142" s="158" t="s">
        <v>79</v>
      </c>
      <c r="E142" s="92" t="s">
        <v>19</v>
      </c>
      <c r="F142" s="91">
        <v>40000</v>
      </c>
      <c r="G142" s="71"/>
    </row>
    <row r="143" spans="1:7" ht="15.75">
      <c r="A143" s="218" t="s">
        <v>228</v>
      </c>
      <c r="B143" s="219" t="s">
        <v>20</v>
      </c>
      <c r="C143" s="219" t="s">
        <v>30</v>
      </c>
      <c r="D143" s="220" t="s">
        <v>35</v>
      </c>
      <c r="E143" s="220" t="s">
        <v>31</v>
      </c>
      <c r="F143" s="221">
        <v>90000</v>
      </c>
      <c r="G143" s="71"/>
    </row>
    <row r="144" spans="1:7" ht="15.75">
      <c r="A144" s="30" t="s">
        <v>229</v>
      </c>
      <c r="B144" s="12" t="s">
        <v>23</v>
      </c>
      <c r="C144" s="12" t="s">
        <v>230</v>
      </c>
      <c r="D144" s="15" t="s">
        <v>35</v>
      </c>
      <c r="E144" s="15" t="s">
        <v>31</v>
      </c>
      <c r="F144" s="14">
        <v>37000</v>
      </c>
      <c r="G144" s="71"/>
    </row>
    <row r="145" spans="1:7" ht="15.75">
      <c r="A145" s="30" t="s">
        <v>231</v>
      </c>
      <c r="B145" s="12" t="s">
        <v>28</v>
      </c>
      <c r="C145" s="12" t="s">
        <v>232</v>
      </c>
      <c r="D145" s="15" t="s">
        <v>35</v>
      </c>
      <c r="E145" s="15" t="s">
        <v>31</v>
      </c>
      <c r="F145" s="14">
        <v>38500</v>
      </c>
      <c r="G145" s="71"/>
    </row>
    <row r="146" spans="1:7" ht="16.5" thickBot="1">
      <c r="A146" s="130" t="s">
        <v>233</v>
      </c>
      <c r="B146" s="85" t="s">
        <v>32</v>
      </c>
      <c r="C146" s="85" t="s">
        <v>232</v>
      </c>
      <c r="D146" s="86" t="s">
        <v>35</v>
      </c>
      <c r="E146" s="86" t="s">
        <v>31</v>
      </c>
      <c r="F146" s="131">
        <v>39500</v>
      </c>
      <c r="G146" s="71"/>
    </row>
    <row r="147" spans="1:7" ht="16.5" thickBot="1">
      <c r="A147" s="34"/>
      <c r="B147" s="24"/>
      <c r="C147" s="22">
        <f>+COUNTA(C143:C146)</f>
        <v>4</v>
      </c>
      <c r="D147" s="35"/>
      <c r="E147" s="35"/>
      <c r="F147" s="25">
        <f t="shared" ref="F147" si="6">SUM(F143:F146)</f>
        <v>205000</v>
      </c>
      <c r="G147" s="71"/>
    </row>
    <row r="148" spans="1:7" ht="16.5" thickBot="1">
      <c r="A148" s="26"/>
      <c r="B148" s="27"/>
      <c r="C148" s="42"/>
      <c r="D148" s="43"/>
      <c r="E148" s="43"/>
      <c r="F148" s="29"/>
      <c r="G148" s="71"/>
    </row>
    <row r="149" spans="1:7" ht="16.5" thickBot="1">
      <c r="A149" s="49"/>
      <c r="B149" s="49" t="s">
        <v>234</v>
      </c>
      <c r="C149" s="50"/>
      <c r="D149" s="51"/>
      <c r="E149" s="51"/>
      <c r="F149" s="50"/>
      <c r="G149" s="71"/>
    </row>
    <row r="150" spans="1:7" ht="15.75">
      <c r="A150" s="80" t="s">
        <v>235</v>
      </c>
      <c r="B150" s="81" t="s">
        <v>236</v>
      </c>
      <c r="C150" s="81" t="s">
        <v>237</v>
      </c>
      <c r="D150" s="88" t="s">
        <v>54</v>
      </c>
      <c r="E150" s="82" t="s">
        <v>31</v>
      </c>
      <c r="F150" s="83">
        <v>13200</v>
      </c>
      <c r="G150" s="71"/>
    </row>
    <row r="151" spans="1:7" ht="15.75">
      <c r="A151" s="30" t="s">
        <v>238</v>
      </c>
      <c r="B151" s="12" t="s">
        <v>239</v>
      </c>
      <c r="C151" s="12" t="s">
        <v>237</v>
      </c>
      <c r="D151" s="13" t="s">
        <v>54</v>
      </c>
      <c r="E151" s="15" t="s">
        <v>19</v>
      </c>
      <c r="F151" s="14">
        <v>18700</v>
      </c>
      <c r="G151" s="71"/>
    </row>
    <row r="152" spans="1:7" ht="15.75">
      <c r="A152" s="30" t="s">
        <v>240</v>
      </c>
      <c r="B152" s="12" t="s">
        <v>241</v>
      </c>
      <c r="C152" s="12" t="s">
        <v>237</v>
      </c>
      <c r="D152" s="13" t="s">
        <v>54</v>
      </c>
      <c r="E152" s="15" t="s">
        <v>31</v>
      </c>
      <c r="F152" s="14">
        <v>13200</v>
      </c>
      <c r="G152" s="71"/>
    </row>
    <row r="153" spans="1:7" ht="15.75">
      <c r="A153" s="30" t="s">
        <v>242</v>
      </c>
      <c r="B153" s="12" t="s">
        <v>243</v>
      </c>
      <c r="C153" s="12" t="s">
        <v>237</v>
      </c>
      <c r="D153" s="13" t="s">
        <v>54</v>
      </c>
      <c r="E153" s="15" t="s">
        <v>31</v>
      </c>
      <c r="F153" s="14">
        <v>13200</v>
      </c>
      <c r="G153" s="71"/>
    </row>
    <row r="154" spans="1:7" ht="15.75">
      <c r="A154" s="30" t="s">
        <v>244</v>
      </c>
      <c r="B154" s="12" t="s">
        <v>245</v>
      </c>
      <c r="C154" s="12" t="s">
        <v>237</v>
      </c>
      <c r="D154" s="13" t="s">
        <v>54</v>
      </c>
      <c r="E154" s="15" t="s">
        <v>31</v>
      </c>
      <c r="F154" s="14">
        <v>15300</v>
      </c>
      <c r="G154" s="71"/>
    </row>
    <row r="155" spans="1:7" ht="15.75">
      <c r="A155" s="30" t="s">
        <v>246</v>
      </c>
      <c r="B155" s="12" t="s">
        <v>247</v>
      </c>
      <c r="C155" s="12" t="s">
        <v>237</v>
      </c>
      <c r="D155" s="13" t="s">
        <v>54</v>
      </c>
      <c r="E155" s="15" t="s">
        <v>31</v>
      </c>
      <c r="F155" s="14">
        <v>15300</v>
      </c>
      <c r="G155" s="71"/>
    </row>
    <row r="156" spans="1:7" ht="16.5" thickBot="1">
      <c r="A156" s="143" t="s">
        <v>248</v>
      </c>
      <c r="B156" s="144" t="s">
        <v>249</v>
      </c>
      <c r="C156" s="144" t="s">
        <v>194</v>
      </c>
      <c r="D156" s="145" t="s">
        <v>54</v>
      </c>
      <c r="E156" s="146" t="s">
        <v>31</v>
      </c>
      <c r="F156" s="147">
        <v>15400</v>
      </c>
      <c r="G156" s="71"/>
    </row>
    <row r="157" spans="1:7" ht="16.5" thickBot="1">
      <c r="A157" s="34"/>
      <c r="B157" s="24"/>
      <c r="C157" s="22">
        <f>+COUNTA(C150:C156)</f>
        <v>7</v>
      </c>
      <c r="D157" s="35"/>
      <c r="E157" s="35"/>
      <c r="F157" s="25">
        <f>SUM(F150:F156)</f>
        <v>104300</v>
      </c>
      <c r="G157" s="71"/>
    </row>
    <row r="158" spans="1:7" ht="16.5" thickBot="1">
      <c r="A158" s="36"/>
      <c r="B158" s="37"/>
      <c r="C158" s="37"/>
      <c r="D158" s="38"/>
      <c r="E158" s="38"/>
      <c r="F158" s="37"/>
      <c r="G158" s="71"/>
    </row>
    <row r="159" spans="1:7" ht="16.5" thickBot="1">
      <c r="A159" s="49"/>
      <c r="B159" s="49" t="s">
        <v>250</v>
      </c>
      <c r="C159" s="50"/>
      <c r="D159" s="51"/>
      <c r="E159" s="51"/>
      <c r="F159" s="50"/>
      <c r="G159" s="71"/>
    </row>
    <row r="160" spans="1:7" ht="15.75">
      <c r="A160" s="80" t="s">
        <v>251</v>
      </c>
      <c r="B160" s="219" t="s">
        <v>16</v>
      </c>
      <c r="C160" s="219" t="s">
        <v>17</v>
      </c>
      <c r="D160" s="220" t="s">
        <v>18</v>
      </c>
      <c r="E160" s="220" t="s">
        <v>19</v>
      </c>
      <c r="F160" s="221">
        <v>130000</v>
      </c>
      <c r="G160" s="71"/>
    </row>
    <row r="161" spans="1:7" ht="16.5" thickBot="1">
      <c r="A161" s="84" t="s">
        <v>252</v>
      </c>
      <c r="B161" s="85" t="s">
        <v>253</v>
      </c>
      <c r="C161" s="85" t="s">
        <v>88</v>
      </c>
      <c r="D161" s="95" t="s">
        <v>54</v>
      </c>
      <c r="E161" s="86" t="s">
        <v>19</v>
      </c>
      <c r="F161" s="87">
        <v>31500</v>
      </c>
      <c r="G161" s="71"/>
    </row>
    <row r="162" spans="1:7" ht="16.5" thickBot="1">
      <c r="A162" s="34"/>
      <c r="B162" s="24"/>
      <c r="C162" s="22">
        <f>+COUNTA(C160:C161)</f>
        <v>2</v>
      </c>
      <c r="D162" s="35"/>
      <c r="E162" s="35"/>
      <c r="F162" s="25">
        <f t="shared" ref="F162" si="7">SUM(F160:F161)</f>
        <v>161500</v>
      </c>
      <c r="G162" s="71"/>
    </row>
    <row r="163" spans="1:7" ht="16.5" thickBot="1">
      <c r="A163" s="36"/>
      <c r="B163" s="37"/>
      <c r="C163" s="37"/>
      <c r="D163" s="38"/>
      <c r="E163" s="38"/>
      <c r="F163" s="37"/>
      <c r="G163" s="71"/>
    </row>
    <row r="164" spans="1:7" ht="16.5" thickBot="1">
      <c r="A164" s="49"/>
      <c r="B164" s="49" t="s">
        <v>254</v>
      </c>
      <c r="C164" s="50"/>
      <c r="D164" s="51"/>
      <c r="E164" s="51"/>
      <c r="F164" s="50"/>
      <c r="G164" s="71"/>
    </row>
    <row r="165" spans="1:7" ht="16.5" thickBot="1">
      <c r="A165" s="107" t="s">
        <v>255</v>
      </c>
      <c r="B165" s="222" t="s">
        <v>38</v>
      </c>
      <c r="C165" s="222" t="s">
        <v>30</v>
      </c>
      <c r="D165" s="223" t="s">
        <v>35</v>
      </c>
      <c r="E165" s="223" t="s">
        <v>31</v>
      </c>
      <c r="F165" s="224">
        <v>75000</v>
      </c>
      <c r="G165" s="71"/>
    </row>
    <row r="166" spans="1:7" ht="16.5" thickBot="1">
      <c r="A166" s="34"/>
      <c r="B166" s="24"/>
      <c r="C166" s="22">
        <f>+COUNTA(C164:C165)</f>
        <v>1</v>
      </c>
      <c r="D166" s="35"/>
      <c r="E166" s="35"/>
      <c r="F166" s="25">
        <f t="shared" ref="F166" si="8">SUM(F165)</f>
        <v>75000</v>
      </c>
      <c r="G166" s="71"/>
    </row>
    <row r="167" spans="1:7" ht="16.5" thickBot="1">
      <c r="A167" s="36"/>
      <c r="B167" s="37"/>
      <c r="C167" s="37"/>
      <c r="D167" s="38"/>
      <c r="E167" s="38"/>
      <c r="F167" s="37"/>
      <c r="G167" s="71"/>
    </row>
    <row r="168" spans="1:7" ht="16.5" thickBot="1">
      <c r="A168" s="49"/>
      <c r="B168" s="49" t="s">
        <v>256</v>
      </c>
      <c r="C168" s="50"/>
      <c r="D168" s="51"/>
      <c r="E168" s="51"/>
      <c r="F168" s="50"/>
      <c r="G168" s="71"/>
    </row>
    <row r="169" spans="1:7" ht="15.75">
      <c r="A169" s="80" t="s">
        <v>257</v>
      </c>
      <c r="B169" s="81" t="s">
        <v>258</v>
      </c>
      <c r="C169" s="81" t="s">
        <v>30</v>
      </c>
      <c r="D169" s="82" t="s">
        <v>35</v>
      </c>
      <c r="E169" s="82" t="s">
        <v>19</v>
      </c>
      <c r="F169" s="83">
        <v>50000</v>
      </c>
      <c r="G169" s="71"/>
    </row>
    <row r="170" spans="1:7" ht="15.75">
      <c r="A170" s="30" t="s">
        <v>259</v>
      </c>
      <c r="B170" s="12" t="s">
        <v>260</v>
      </c>
      <c r="C170" s="12" t="s">
        <v>261</v>
      </c>
      <c r="D170" s="15" t="s">
        <v>15</v>
      </c>
      <c r="E170" s="15" t="s">
        <v>31</v>
      </c>
      <c r="F170" s="14">
        <v>26250</v>
      </c>
      <c r="G170" s="71"/>
    </row>
    <row r="171" spans="1:7" ht="15.75">
      <c r="A171" s="32" t="s">
        <v>262</v>
      </c>
      <c r="B171" s="17" t="s">
        <v>263</v>
      </c>
      <c r="C171" s="12" t="s">
        <v>261</v>
      </c>
      <c r="D171" s="18" t="s">
        <v>15</v>
      </c>
      <c r="E171" s="18" t="s">
        <v>31</v>
      </c>
      <c r="F171" s="19">
        <v>26250</v>
      </c>
      <c r="G171" s="71"/>
    </row>
    <row r="172" spans="1:7" ht="16.5" thickBot="1">
      <c r="A172" s="84" t="s">
        <v>264</v>
      </c>
      <c r="B172" s="85" t="s">
        <v>265</v>
      </c>
      <c r="C172" s="85" t="s">
        <v>261</v>
      </c>
      <c r="D172" s="86" t="s">
        <v>35</v>
      </c>
      <c r="E172" s="132" t="s">
        <v>19</v>
      </c>
      <c r="F172" s="86">
        <v>31500</v>
      </c>
      <c r="G172" s="71"/>
    </row>
    <row r="173" spans="1:7" ht="16.5" thickBot="1">
      <c r="A173" s="34"/>
      <c r="B173" s="24"/>
      <c r="C173" s="22">
        <f>+COUNTA(C169:C172)</f>
        <v>4</v>
      </c>
      <c r="D173" s="35"/>
      <c r="E173" s="35"/>
      <c r="F173" s="25">
        <f t="shared" ref="F173" si="9">SUM(F169:F172)</f>
        <v>134000</v>
      </c>
      <c r="G173" s="71"/>
    </row>
    <row r="174" spans="1:7" ht="16.5" thickBot="1">
      <c r="A174" s="36"/>
      <c r="B174" s="37"/>
      <c r="C174" s="37"/>
      <c r="D174" s="38"/>
      <c r="E174" s="38"/>
      <c r="F174" s="37"/>
      <c r="G174" s="71"/>
    </row>
    <row r="175" spans="1:7" ht="16.5" thickBot="1">
      <c r="A175" s="49"/>
      <c r="B175" s="49" t="s">
        <v>266</v>
      </c>
      <c r="C175" s="50"/>
      <c r="D175" s="51"/>
      <c r="E175" s="51"/>
      <c r="F175" s="50"/>
      <c r="G175" s="71"/>
    </row>
    <row r="176" spans="1:7" ht="16.5" thickBot="1">
      <c r="A176" s="107" t="s">
        <v>267</v>
      </c>
      <c r="B176" s="222" t="s">
        <v>39</v>
      </c>
      <c r="C176" s="222" t="s">
        <v>30</v>
      </c>
      <c r="D176" s="223" t="s">
        <v>35</v>
      </c>
      <c r="E176" s="223" t="s">
        <v>19</v>
      </c>
      <c r="F176" s="224">
        <v>75000</v>
      </c>
      <c r="G176" s="71"/>
    </row>
    <row r="177" spans="1:7" ht="16.5" thickBot="1">
      <c r="A177" s="34"/>
      <c r="B177" s="24"/>
      <c r="C177" s="22">
        <f>+COUNTA(C175:C176)</f>
        <v>1</v>
      </c>
      <c r="D177" s="23"/>
      <c r="E177" s="23"/>
      <c r="F177" s="25">
        <f t="shared" ref="F177" si="10">SUM(F176)</f>
        <v>75000</v>
      </c>
      <c r="G177" s="71"/>
    </row>
    <row r="178" spans="1:7" ht="15.75">
      <c r="A178" s="36"/>
      <c r="B178" s="37"/>
      <c r="C178" s="37"/>
      <c r="D178" s="38"/>
      <c r="E178" s="38"/>
      <c r="F178" s="37"/>
      <c r="G178" s="71"/>
    </row>
    <row r="179" spans="1:7" ht="15.75">
      <c r="A179" s="36"/>
      <c r="B179" s="37"/>
      <c r="C179" s="37"/>
      <c r="D179" s="38"/>
      <c r="E179" s="38"/>
      <c r="F179" s="37"/>
      <c r="G179" s="71"/>
    </row>
    <row r="180" spans="1:7" ht="15.75">
      <c r="A180" s="36"/>
      <c r="B180" s="37"/>
      <c r="C180" s="37"/>
      <c r="D180" s="38"/>
      <c r="E180" s="38"/>
      <c r="F180" s="37"/>
      <c r="G180" s="71"/>
    </row>
    <row r="181" spans="1:7" ht="15.75">
      <c r="A181" s="36"/>
      <c r="B181" s="37"/>
      <c r="C181" s="37"/>
      <c r="D181" s="38"/>
      <c r="E181" s="38"/>
      <c r="F181" s="37"/>
      <c r="G181" s="71"/>
    </row>
    <row r="182" spans="1:7" ht="16.5" thickBot="1">
      <c r="A182" s="36"/>
      <c r="B182" s="37"/>
      <c r="C182" s="37"/>
      <c r="D182" s="38"/>
      <c r="E182" s="38"/>
      <c r="F182" s="37"/>
      <c r="G182" s="71"/>
    </row>
    <row r="183" spans="1:7" ht="16.5" thickBot="1">
      <c r="A183" s="49"/>
      <c r="B183" s="49" t="s">
        <v>268</v>
      </c>
      <c r="C183" s="50"/>
      <c r="D183" s="51"/>
      <c r="E183" s="51"/>
      <c r="F183" s="50"/>
      <c r="G183" s="71"/>
    </row>
    <row r="184" spans="1:7" ht="15.75">
      <c r="A184" s="126" t="s">
        <v>269</v>
      </c>
      <c r="B184" s="127" t="s">
        <v>270</v>
      </c>
      <c r="C184" s="127" t="s">
        <v>30</v>
      </c>
      <c r="D184" s="128" t="s">
        <v>15</v>
      </c>
      <c r="E184" s="128" t="s">
        <v>19</v>
      </c>
      <c r="F184" s="129">
        <v>54000</v>
      </c>
      <c r="G184" s="71"/>
    </row>
    <row r="185" spans="1:7" ht="15.75">
      <c r="A185" s="56" t="s">
        <v>271</v>
      </c>
      <c r="B185" s="57" t="s">
        <v>272</v>
      </c>
      <c r="C185" s="57" t="s">
        <v>273</v>
      </c>
      <c r="D185" s="13" t="s">
        <v>54</v>
      </c>
      <c r="E185" s="58" t="s">
        <v>31</v>
      </c>
      <c r="F185" s="59">
        <v>19800</v>
      </c>
      <c r="G185" s="71"/>
    </row>
    <row r="186" spans="1:7" ht="15.75">
      <c r="A186" s="56" t="s">
        <v>274</v>
      </c>
      <c r="B186" s="57" t="s">
        <v>275</v>
      </c>
      <c r="C186" s="57" t="s">
        <v>273</v>
      </c>
      <c r="D186" s="13" t="s">
        <v>54</v>
      </c>
      <c r="E186" s="58" t="s">
        <v>31</v>
      </c>
      <c r="F186" s="59">
        <v>19800</v>
      </c>
      <c r="G186" s="71"/>
    </row>
    <row r="187" spans="1:7" ht="15.75">
      <c r="A187" s="30" t="s">
        <v>276</v>
      </c>
      <c r="B187" s="12" t="s">
        <v>277</v>
      </c>
      <c r="C187" s="57" t="s">
        <v>273</v>
      </c>
      <c r="D187" s="13" t="s">
        <v>54</v>
      </c>
      <c r="E187" s="15" t="s">
        <v>31</v>
      </c>
      <c r="F187" s="14">
        <v>19800</v>
      </c>
      <c r="G187" s="71"/>
    </row>
    <row r="188" spans="1:7" ht="15.75">
      <c r="A188" s="32" t="s">
        <v>278</v>
      </c>
      <c r="B188" s="17" t="s">
        <v>279</v>
      </c>
      <c r="C188" s="57" t="s">
        <v>273</v>
      </c>
      <c r="D188" s="33" t="s">
        <v>54</v>
      </c>
      <c r="E188" s="18" t="s">
        <v>31</v>
      </c>
      <c r="F188" s="19">
        <v>19800</v>
      </c>
      <c r="G188" s="71"/>
    </row>
    <row r="189" spans="1:7" ht="16.5" thickBot="1">
      <c r="A189" s="84" t="s">
        <v>280</v>
      </c>
      <c r="B189" s="85" t="s">
        <v>281</v>
      </c>
      <c r="C189" s="123" t="s">
        <v>273</v>
      </c>
      <c r="D189" s="86" t="s">
        <v>54</v>
      </c>
      <c r="E189" s="86" t="s">
        <v>19</v>
      </c>
      <c r="F189" s="87">
        <v>19800</v>
      </c>
      <c r="G189" s="71"/>
    </row>
    <row r="190" spans="1:7" ht="16.5" thickBot="1">
      <c r="A190" s="34"/>
      <c r="B190" s="24"/>
      <c r="C190" s="22">
        <f>+COUNTA(C184:C188)</f>
        <v>5</v>
      </c>
      <c r="D190" s="35"/>
      <c r="E190" s="35"/>
      <c r="F190" s="25">
        <f>SUM(F184:F189)</f>
        <v>153000</v>
      </c>
      <c r="G190" s="71"/>
    </row>
    <row r="191" spans="1:7" ht="16.5" thickBot="1">
      <c r="A191" s="26"/>
      <c r="B191" s="27"/>
      <c r="C191" s="42"/>
      <c r="D191" s="43"/>
      <c r="E191" s="43"/>
      <c r="F191" s="29"/>
      <c r="G191" s="71"/>
    </row>
    <row r="192" spans="1:7" ht="16.5" thickBot="1">
      <c r="A192" s="49"/>
      <c r="B192" s="49" t="s">
        <v>282</v>
      </c>
      <c r="C192" s="50"/>
      <c r="D192" s="51"/>
      <c r="E192" s="51"/>
      <c r="F192" s="50"/>
      <c r="G192" s="71"/>
    </row>
    <row r="193" spans="1:7" ht="15.75">
      <c r="A193" s="80" t="s">
        <v>283</v>
      </c>
      <c r="B193" s="81" t="s">
        <v>284</v>
      </c>
      <c r="C193" s="81" t="s">
        <v>30</v>
      </c>
      <c r="D193" s="82" t="s">
        <v>18</v>
      </c>
      <c r="E193" s="82" t="s">
        <v>31</v>
      </c>
      <c r="F193" s="83">
        <v>35000</v>
      </c>
      <c r="G193" s="71"/>
    </row>
    <row r="194" spans="1:7" ht="15.75">
      <c r="A194" s="30" t="s">
        <v>285</v>
      </c>
      <c r="B194" s="12" t="s">
        <v>286</v>
      </c>
      <c r="C194" s="17" t="s">
        <v>287</v>
      </c>
      <c r="D194" s="13" t="s">
        <v>54</v>
      </c>
      <c r="E194" s="15" t="s">
        <v>19</v>
      </c>
      <c r="F194" s="14">
        <v>21450</v>
      </c>
      <c r="G194" s="71"/>
    </row>
    <row r="195" spans="1:7" ht="16.5" thickBot="1">
      <c r="A195" s="84" t="s">
        <v>288</v>
      </c>
      <c r="B195" s="85" t="s">
        <v>289</v>
      </c>
      <c r="C195" s="85" t="s">
        <v>287</v>
      </c>
      <c r="D195" s="95" t="s">
        <v>54</v>
      </c>
      <c r="E195" s="86" t="s">
        <v>31</v>
      </c>
      <c r="F195" s="87">
        <v>27450</v>
      </c>
      <c r="G195" s="71"/>
    </row>
    <row r="196" spans="1:7" ht="16.5" thickBot="1">
      <c r="A196" s="34"/>
      <c r="B196" s="24"/>
      <c r="C196" s="22">
        <f>+COUNTA(C193:C195)</f>
        <v>3</v>
      </c>
      <c r="D196" s="35"/>
      <c r="E196" s="35"/>
      <c r="F196" s="25">
        <f t="shared" ref="F196" si="11">SUM(F193:F195)</f>
        <v>83900</v>
      </c>
      <c r="G196" s="71"/>
    </row>
    <row r="197" spans="1:7" ht="16.5" thickBot="1">
      <c r="A197" s="36"/>
      <c r="B197" s="37"/>
      <c r="C197" s="37"/>
      <c r="D197" s="38"/>
      <c r="E197" s="38"/>
      <c r="F197" s="37"/>
      <c r="G197" s="71"/>
    </row>
    <row r="198" spans="1:7" ht="16.5" thickBot="1">
      <c r="A198" s="72"/>
      <c r="B198" s="72" t="s">
        <v>290</v>
      </c>
      <c r="C198" s="73"/>
      <c r="D198" s="74"/>
      <c r="E198" s="74"/>
      <c r="F198" s="73"/>
      <c r="G198" s="71"/>
    </row>
    <row r="199" spans="1:7" ht="15.75">
      <c r="A199" s="80" t="s">
        <v>291</v>
      </c>
      <c r="B199" s="219" t="s">
        <v>40</v>
      </c>
      <c r="C199" s="219" t="s">
        <v>30</v>
      </c>
      <c r="D199" s="220" t="s">
        <v>15</v>
      </c>
      <c r="E199" s="220" t="s">
        <v>19</v>
      </c>
      <c r="F199" s="221">
        <v>75000</v>
      </c>
      <c r="G199" s="71"/>
    </row>
    <row r="200" spans="1:7" ht="15.75">
      <c r="A200" s="30" t="s">
        <v>292</v>
      </c>
      <c r="B200" s="12" t="s">
        <v>293</v>
      </c>
      <c r="C200" s="12" t="s">
        <v>294</v>
      </c>
      <c r="D200" s="15" t="s">
        <v>15</v>
      </c>
      <c r="E200" s="15" t="s">
        <v>19</v>
      </c>
      <c r="F200" s="14">
        <v>31500</v>
      </c>
      <c r="G200" s="71"/>
    </row>
    <row r="201" spans="1:7" ht="15.75">
      <c r="A201" s="30" t="s">
        <v>295</v>
      </c>
      <c r="B201" s="12" t="s">
        <v>296</v>
      </c>
      <c r="C201" s="12" t="s">
        <v>297</v>
      </c>
      <c r="D201" s="13" t="s">
        <v>54</v>
      </c>
      <c r="E201" s="15" t="s">
        <v>31</v>
      </c>
      <c r="F201" s="14">
        <v>22050</v>
      </c>
      <c r="G201" s="71"/>
    </row>
    <row r="202" spans="1:7" ht="15.75">
      <c r="A202" s="30" t="s">
        <v>298</v>
      </c>
      <c r="B202" s="12" t="s">
        <v>299</v>
      </c>
      <c r="C202" s="12" t="s">
        <v>297</v>
      </c>
      <c r="D202" s="15" t="s">
        <v>35</v>
      </c>
      <c r="E202" s="15" t="s">
        <v>19</v>
      </c>
      <c r="F202" s="14">
        <v>22050</v>
      </c>
      <c r="G202" s="71"/>
    </row>
    <row r="203" spans="1:7" ht="15.75">
      <c r="A203" s="30" t="s">
        <v>300</v>
      </c>
      <c r="B203" s="12" t="s">
        <v>301</v>
      </c>
      <c r="C203" s="12" t="s">
        <v>297</v>
      </c>
      <c r="D203" s="13" t="s">
        <v>54</v>
      </c>
      <c r="E203" s="15" t="s">
        <v>19</v>
      </c>
      <c r="F203" s="14">
        <v>21450</v>
      </c>
      <c r="G203" s="71"/>
    </row>
    <row r="204" spans="1:7" ht="15.75">
      <c r="A204" s="30">
        <v>658</v>
      </c>
      <c r="B204" s="12" t="s">
        <v>302</v>
      </c>
      <c r="C204" s="12" t="s">
        <v>297</v>
      </c>
      <c r="D204" s="15" t="s">
        <v>15</v>
      </c>
      <c r="E204" s="15" t="s">
        <v>31</v>
      </c>
      <c r="F204" s="14">
        <v>22000</v>
      </c>
      <c r="G204" s="71"/>
    </row>
    <row r="205" spans="1:7" ht="15.75">
      <c r="A205" s="30" t="s">
        <v>303</v>
      </c>
      <c r="B205" s="12" t="s">
        <v>304</v>
      </c>
      <c r="C205" s="12" t="s">
        <v>84</v>
      </c>
      <c r="D205" s="13" t="s">
        <v>54</v>
      </c>
      <c r="E205" s="15" t="s">
        <v>19</v>
      </c>
      <c r="F205" s="14">
        <v>18000</v>
      </c>
      <c r="G205" s="71"/>
    </row>
    <row r="206" spans="1:7" ht="16.5" thickBot="1">
      <c r="A206" s="130" t="s">
        <v>305</v>
      </c>
      <c r="B206" s="140" t="s">
        <v>306</v>
      </c>
      <c r="C206" s="9" t="s">
        <v>297</v>
      </c>
      <c r="D206" s="141" t="s">
        <v>54</v>
      </c>
      <c r="E206" s="142" t="s">
        <v>19</v>
      </c>
      <c r="F206" s="131">
        <v>22050</v>
      </c>
      <c r="G206" s="71"/>
    </row>
    <row r="207" spans="1:7" ht="16.5" thickBot="1">
      <c r="A207" s="34"/>
      <c r="B207" s="24"/>
      <c r="C207" s="22">
        <f>+COUNTA(C199:C206)</f>
        <v>8</v>
      </c>
      <c r="D207" s="35"/>
      <c r="E207" s="35"/>
      <c r="F207" s="25">
        <f>SUM(F199:F206)</f>
        <v>234100</v>
      </c>
      <c r="G207" s="71"/>
    </row>
    <row r="208" spans="1:7" ht="16.5" thickBot="1">
      <c r="A208" s="36"/>
      <c r="B208" s="37"/>
      <c r="C208" s="37"/>
      <c r="D208" s="38"/>
      <c r="E208" s="38"/>
      <c r="F208" s="37"/>
      <c r="G208" s="71"/>
    </row>
    <row r="209" spans="1:7" ht="16.5" thickBot="1">
      <c r="A209" s="49"/>
      <c r="B209" s="49" t="s">
        <v>307</v>
      </c>
      <c r="C209" s="50"/>
      <c r="D209" s="51"/>
      <c r="E209" s="51"/>
      <c r="F209" s="50"/>
      <c r="G209" s="71"/>
    </row>
    <row r="210" spans="1:7" ht="16.5" thickBot="1">
      <c r="A210" s="107" t="s">
        <v>308</v>
      </c>
      <c r="B210" s="108" t="s">
        <v>309</v>
      </c>
      <c r="C210" s="108" t="s">
        <v>30</v>
      </c>
      <c r="D210" s="110" t="s">
        <v>15</v>
      </c>
      <c r="E210" s="110" t="s">
        <v>19</v>
      </c>
      <c r="F210" s="111">
        <v>45000</v>
      </c>
      <c r="G210" s="71"/>
    </row>
    <row r="211" spans="1:7" ht="16.5" thickBot="1">
      <c r="A211" s="34"/>
      <c r="B211" s="24"/>
      <c r="C211" s="22">
        <f>+COUNTA(C209:C210)</f>
        <v>1</v>
      </c>
      <c r="D211" s="35"/>
      <c r="E211" s="35"/>
      <c r="F211" s="25">
        <f t="shared" ref="F211" si="12">SUM(F210)</f>
        <v>45000</v>
      </c>
      <c r="G211" s="71"/>
    </row>
    <row r="212" spans="1:7" ht="16.5" thickBot="1">
      <c r="A212" s="36"/>
      <c r="B212" s="37"/>
      <c r="C212" s="37"/>
      <c r="D212" s="38"/>
      <c r="E212" s="38"/>
      <c r="F212" s="37"/>
      <c r="G212" s="71"/>
    </row>
    <row r="213" spans="1:7" ht="16.5" thickBot="1">
      <c r="A213" s="49"/>
      <c r="B213" s="49" t="s">
        <v>310</v>
      </c>
      <c r="C213" s="50"/>
      <c r="D213" s="51"/>
      <c r="E213" s="51"/>
      <c r="F213" s="50"/>
      <c r="G213" s="71"/>
    </row>
    <row r="214" spans="1:7" ht="15.75">
      <c r="A214" s="80" t="s">
        <v>311</v>
      </c>
      <c r="B214" s="81" t="s">
        <v>312</v>
      </c>
      <c r="C214" s="81" t="s">
        <v>30</v>
      </c>
      <c r="D214" s="82" t="s">
        <v>35</v>
      </c>
      <c r="E214" s="82" t="s">
        <v>19</v>
      </c>
      <c r="F214" s="83">
        <v>50000</v>
      </c>
      <c r="G214" s="71"/>
    </row>
    <row r="215" spans="1:7" ht="15.75">
      <c r="A215" s="30" t="s">
        <v>313</v>
      </c>
      <c r="B215" s="12" t="s">
        <v>314</v>
      </c>
      <c r="C215" s="12" t="s">
        <v>315</v>
      </c>
      <c r="D215" s="15" t="s">
        <v>15</v>
      </c>
      <c r="E215" s="15" t="s">
        <v>31</v>
      </c>
      <c r="F215" s="14">
        <v>31500</v>
      </c>
      <c r="G215" s="71"/>
    </row>
    <row r="216" spans="1:7" ht="16.5" thickBot="1">
      <c r="A216" s="84" t="s">
        <v>316</v>
      </c>
      <c r="B216" s="85" t="s">
        <v>317</v>
      </c>
      <c r="C216" s="85" t="s">
        <v>318</v>
      </c>
      <c r="D216" s="95" t="s">
        <v>54</v>
      </c>
      <c r="E216" s="86" t="s">
        <v>19</v>
      </c>
      <c r="F216" s="87">
        <v>21450</v>
      </c>
      <c r="G216" s="71"/>
    </row>
    <row r="217" spans="1:7" ht="16.5" thickBot="1">
      <c r="A217" s="34"/>
      <c r="B217" s="24"/>
      <c r="C217" s="22">
        <f>+COUNTA(C214:C216)</f>
        <v>3</v>
      </c>
      <c r="D217" s="35"/>
      <c r="E217" s="35"/>
      <c r="F217" s="25">
        <f t="shared" ref="F217" si="13">SUM(F214:F216)</f>
        <v>102950</v>
      </c>
      <c r="G217" s="71"/>
    </row>
    <row r="218" spans="1:7" ht="15.75">
      <c r="A218" s="36"/>
      <c r="B218" s="37"/>
      <c r="C218" s="37"/>
      <c r="D218" s="38"/>
      <c r="E218" s="38"/>
      <c r="F218" s="37"/>
      <c r="G218" s="71"/>
    </row>
    <row r="219" spans="1:7" ht="15.75">
      <c r="A219" s="36"/>
      <c r="B219" s="37"/>
      <c r="C219" s="37"/>
      <c r="D219" s="38"/>
      <c r="E219" s="38"/>
      <c r="F219" s="37"/>
      <c r="G219" s="71"/>
    </row>
    <row r="220" spans="1:7" ht="15.75">
      <c r="A220" s="36"/>
      <c r="B220" s="37"/>
      <c r="C220" s="37"/>
      <c r="D220" s="38"/>
      <c r="E220" s="38"/>
      <c r="F220" s="37"/>
      <c r="G220" s="71"/>
    </row>
    <row r="221" spans="1:7" ht="15.75">
      <c r="A221" s="36"/>
      <c r="B221" s="37"/>
      <c r="C221" s="37"/>
      <c r="D221" s="38"/>
      <c r="E221" s="38"/>
      <c r="F221" s="37"/>
      <c r="G221" s="71"/>
    </row>
    <row r="222" spans="1:7" ht="15.75">
      <c r="A222" s="36"/>
      <c r="B222" s="37"/>
      <c r="C222" s="37"/>
      <c r="D222" s="38"/>
      <c r="E222" s="38"/>
      <c r="F222" s="37"/>
      <c r="G222" s="71"/>
    </row>
    <row r="223" spans="1:7" ht="15.75">
      <c r="A223" s="36"/>
      <c r="B223" s="37"/>
      <c r="C223" s="37"/>
      <c r="D223" s="38"/>
      <c r="E223" s="38"/>
      <c r="F223" s="37"/>
      <c r="G223" s="71"/>
    </row>
    <row r="224" spans="1:7" ht="16.5" thickBot="1">
      <c r="A224" s="36"/>
      <c r="B224" s="37"/>
      <c r="C224" s="37"/>
      <c r="D224" s="38"/>
      <c r="E224" s="38"/>
      <c r="F224" s="37"/>
      <c r="G224" s="71"/>
    </row>
    <row r="225" spans="1:7" ht="16.5" thickBot="1">
      <c r="A225" s="72"/>
      <c r="B225" s="72" t="s">
        <v>319</v>
      </c>
      <c r="C225" s="73"/>
      <c r="D225" s="74"/>
      <c r="E225" s="74"/>
      <c r="F225" s="73"/>
      <c r="G225" s="71"/>
    </row>
    <row r="226" spans="1:7" ht="20.100000000000001" customHeight="1" thickBot="1">
      <c r="A226" s="170" t="s">
        <v>320</v>
      </c>
      <c r="B226" s="171" t="s">
        <v>321</v>
      </c>
      <c r="C226" s="171" t="s">
        <v>322</v>
      </c>
      <c r="D226" s="158" t="s">
        <v>79</v>
      </c>
      <c r="E226" s="172" t="s">
        <v>19</v>
      </c>
      <c r="F226" s="173">
        <v>45000</v>
      </c>
      <c r="G226" s="71"/>
    </row>
    <row r="227" spans="1:7" ht="15.75">
      <c r="A227" s="80" t="s">
        <v>323</v>
      </c>
      <c r="B227" s="219" t="s">
        <v>41</v>
      </c>
      <c r="C227" s="219" t="s">
        <v>30</v>
      </c>
      <c r="D227" s="220" t="s">
        <v>35</v>
      </c>
      <c r="E227" s="220" t="s">
        <v>19</v>
      </c>
      <c r="F227" s="221">
        <v>75000</v>
      </c>
      <c r="G227" s="71"/>
    </row>
    <row r="228" spans="1:7" ht="15.75">
      <c r="A228" s="30" t="s">
        <v>324</v>
      </c>
      <c r="B228" s="12" t="s">
        <v>325</v>
      </c>
      <c r="C228" s="12" t="s">
        <v>326</v>
      </c>
      <c r="D228" s="15" t="s">
        <v>35</v>
      </c>
      <c r="E228" s="15" t="s">
        <v>19</v>
      </c>
      <c r="F228" s="14">
        <v>30000</v>
      </c>
      <c r="G228" s="71"/>
    </row>
    <row r="229" spans="1:7" ht="15.75">
      <c r="A229" s="30" t="s">
        <v>327</v>
      </c>
      <c r="B229" s="12" t="s">
        <v>328</v>
      </c>
      <c r="C229" s="12" t="s">
        <v>326</v>
      </c>
      <c r="D229" s="15" t="s">
        <v>35</v>
      </c>
      <c r="E229" s="15" t="s">
        <v>19</v>
      </c>
      <c r="F229" s="14">
        <v>22050</v>
      </c>
      <c r="G229" s="71"/>
    </row>
    <row r="230" spans="1:7" ht="15.75">
      <c r="A230" s="30" t="s">
        <v>329</v>
      </c>
      <c r="B230" s="12" t="s">
        <v>330</v>
      </c>
      <c r="C230" s="12" t="s">
        <v>331</v>
      </c>
      <c r="D230" s="15" t="s">
        <v>35</v>
      </c>
      <c r="E230" s="15" t="s">
        <v>31</v>
      </c>
      <c r="F230" s="14">
        <v>30000</v>
      </c>
      <c r="G230" s="71"/>
    </row>
    <row r="231" spans="1:7" ht="15.75">
      <c r="A231" s="30" t="s">
        <v>332</v>
      </c>
      <c r="B231" s="12" t="s">
        <v>333</v>
      </c>
      <c r="C231" s="12" t="s">
        <v>326</v>
      </c>
      <c r="D231" s="13" t="s">
        <v>54</v>
      </c>
      <c r="E231" s="15" t="s">
        <v>19</v>
      </c>
      <c r="F231" s="14">
        <v>22050</v>
      </c>
      <c r="G231" s="71"/>
    </row>
    <row r="232" spans="1:7" ht="15.75">
      <c r="A232" s="30" t="s">
        <v>334</v>
      </c>
      <c r="B232" s="12" t="s">
        <v>335</v>
      </c>
      <c r="C232" s="12" t="s">
        <v>331</v>
      </c>
      <c r="D232" s="13" t="s">
        <v>54</v>
      </c>
      <c r="E232" s="15" t="s">
        <v>31</v>
      </c>
      <c r="F232" s="14">
        <v>22050</v>
      </c>
      <c r="G232" s="71"/>
    </row>
    <row r="233" spans="1:7" ht="15.75">
      <c r="A233" s="30" t="s">
        <v>336</v>
      </c>
      <c r="B233" s="12" t="s">
        <v>337</v>
      </c>
      <c r="C233" s="12" t="s">
        <v>338</v>
      </c>
      <c r="D233" s="13" t="s">
        <v>54</v>
      </c>
      <c r="E233" s="15" t="s">
        <v>19</v>
      </c>
      <c r="F233" s="14">
        <v>21500</v>
      </c>
      <c r="G233" s="71"/>
    </row>
    <row r="234" spans="1:7" ht="15.75">
      <c r="A234" s="30" t="s">
        <v>159</v>
      </c>
      <c r="B234" s="12" t="s">
        <v>339</v>
      </c>
      <c r="C234" s="12" t="s">
        <v>338</v>
      </c>
      <c r="D234" s="13" t="s">
        <v>54</v>
      </c>
      <c r="E234" s="15" t="s">
        <v>19</v>
      </c>
      <c r="F234" s="14">
        <v>22050</v>
      </c>
      <c r="G234" s="71"/>
    </row>
    <row r="235" spans="1:7" ht="16.5" thickBot="1">
      <c r="A235" s="84" t="s">
        <v>340</v>
      </c>
      <c r="B235" s="85" t="s">
        <v>341</v>
      </c>
      <c r="C235" s="85" t="s">
        <v>84</v>
      </c>
      <c r="D235" s="95" t="s">
        <v>54</v>
      </c>
      <c r="E235" s="86" t="s">
        <v>19</v>
      </c>
      <c r="F235" s="87">
        <v>30000</v>
      </c>
      <c r="G235" s="71"/>
    </row>
    <row r="236" spans="1:7" ht="16.5" thickBot="1">
      <c r="A236" s="75"/>
      <c r="B236" s="76"/>
      <c r="C236" s="77">
        <f>+COUNTA(C227:C235)</f>
        <v>9</v>
      </c>
      <c r="D236" s="78"/>
      <c r="E236" s="78"/>
      <c r="F236" s="79">
        <f t="shared" ref="F236" si="14">SUM(F227:F235)</f>
        <v>274700</v>
      </c>
      <c r="G236" s="71"/>
    </row>
    <row r="237" spans="1:7" ht="16.5" thickBot="1">
      <c r="A237" s="36"/>
      <c r="B237" s="37"/>
      <c r="C237" s="37"/>
      <c r="D237" s="38"/>
      <c r="E237" s="38"/>
      <c r="F237" s="37"/>
      <c r="G237" s="71"/>
    </row>
    <row r="238" spans="1:7" ht="16.5" thickBot="1">
      <c r="A238" s="49"/>
      <c r="B238" s="49" t="s">
        <v>342</v>
      </c>
      <c r="C238" s="50"/>
      <c r="D238" s="51"/>
      <c r="E238" s="51"/>
      <c r="F238" s="50"/>
      <c r="G238" s="71"/>
    </row>
    <row r="239" spans="1:7" ht="15.75">
      <c r="A239" s="80" t="s">
        <v>343</v>
      </c>
      <c r="B239" s="81" t="s">
        <v>344</v>
      </c>
      <c r="C239" s="81" t="s">
        <v>30</v>
      </c>
      <c r="D239" s="82" t="s">
        <v>35</v>
      </c>
      <c r="E239" s="106" t="s">
        <v>19</v>
      </c>
      <c r="F239" s="82">
        <v>50000</v>
      </c>
      <c r="G239" s="71"/>
    </row>
    <row r="240" spans="1:7" ht="15.75">
      <c r="A240" s="30" t="s">
        <v>345</v>
      </c>
      <c r="B240" s="12" t="s">
        <v>346</v>
      </c>
      <c r="C240" s="12" t="s">
        <v>347</v>
      </c>
      <c r="D240" s="15" t="s">
        <v>15</v>
      </c>
      <c r="E240" s="31" t="s">
        <v>31</v>
      </c>
      <c r="F240" s="15">
        <v>31500</v>
      </c>
      <c r="G240" s="71"/>
    </row>
    <row r="241" spans="1:7" ht="15.75">
      <c r="A241" s="30" t="s">
        <v>348</v>
      </c>
      <c r="B241" s="12" t="s">
        <v>349</v>
      </c>
      <c r="C241" s="12" t="s">
        <v>350</v>
      </c>
      <c r="D241" s="15" t="s">
        <v>15</v>
      </c>
      <c r="E241" s="31" t="s">
        <v>19</v>
      </c>
      <c r="F241" s="15">
        <v>35000</v>
      </c>
      <c r="G241" s="71"/>
    </row>
    <row r="242" spans="1:7" ht="15.75">
      <c r="A242" s="30" t="s">
        <v>351</v>
      </c>
      <c r="B242" s="12" t="s">
        <v>352</v>
      </c>
      <c r="C242" s="12" t="s">
        <v>353</v>
      </c>
      <c r="D242" s="13" t="s">
        <v>54</v>
      </c>
      <c r="E242" s="31" t="s">
        <v>31</v>
      </c>
      <c r="F242" s="15">
        <v>21450</v>
      </c>
      <c r="G242" s="71"/>
    </row>
    <row r="243" spans="1:7" ht="16.5" thickBot="1">
      <c r="A243" s="143" t="s">
        <v>354</v>
      </c>
      <c r="B243" s="148" t="s">
        <v>355</v>
      </c>
      <c r="C243" s="12" t="s">
        <v>353</v>
      </c>
      <c r="D243" s="13" t="s">
        <v>54</v>
      </c>
      <c r="E243" s="149" t="s">
        <v>31</v>
      </c>
      <c r="F243" s="145">
        <v>21450</v>
      </c>
      <c r="G243" s="71"/>
    </row>
    <row r="244" spans="1:7" ht="16.5" thickBot="1">
      <c r="A244" s="34"/>
      <c r="B244" s="24"/>
      <c r="C244" s="22">
        <f>+COUNTA(C239:C242)</f>
        <v>4</v>
      </c>
      <c r="D244" s="35"/>
      <c r="E244" s="35"/>
      <c r="F244" s="25">
        <f>SUM(F239:F243)</f>
        <v>159400</v>
      </c>
      <c r="G244" s="71"/>
    </row>
    <row r="245" spans="1:7" ht="16.5" thickBot="1">
      <c r="A245" s="60"/>
      <c r="B245" s="61"/>
      <c r="C245" s="61"/>
      <c r="D245" s="62"/>
      <c r="E245" s="62"/>
      <c r="F245" s="61"/>
      <c r="G245" s="71"/>
    </row>
    <row r="246" spans="1:7" ht="16.5" thickBot="1">
      <c r="A246" s="49"/>
      <c r="B246" s="49" t="s">
        <v>356</v>
      </c>
      <c r="C246" s="50"/>
      <c r="D246" s="51"/>
      <c r="E246" s="51"/>
      <c r="F246" s="50"/>
      <c r="G246" s="71"/>
    </row>
    <row r="247" spans="1:7" ht="15.75">
      <c r="A247" s="80" t="s">
        <v>357</v>
      </c>
      <c r="B247" s="219" t="s">
        <v>358</v>
      </c>
      <c r="C247" s="219" t="s">
        <v>30</v>
      </c>
      <c r="D247" s="220" t="s">
        <v>35</v>
      </c>
      <c r="E247" s="225" t="s">
        <v>19</v>
      </c>
      <c r="F247" s="220">
        <v>75000</v>
      </c>
      <c r="G247" s="71"/>
    </row>
    <row r="248" spans="1:7" ht="15.75">
      <c r="A248" s="30" t="s">
        <v>359</v>
      </c>
      <c r="B248" s="12" t="s">
        <v>360</v>
      </c>
      <c r="C248" s="12" t="s">
        <v>361</v>
      </c>
      <c r="D248" s="15" t="s">
        <v>18</v>
      </c>
      <c r="E248" s="31" t="s">
        <v>19</v>
      </c>
      <c r="F248" s="15">
        <v>50000</v>
      </c>
      <c r="G248" s="71"/>
    </row>
    <row r="249" spans="1:7" ht="15.75">
      <c r="A249" s="30" t="s">
        <v>362</v>
      </c>
      <c r="B249" s="12" t="s">
        <v>363</v>
      </c>
      <c r="C249" s="12" t="s">
        <v>364</v>
      </c>
      <c r="D249" s="15" t="s">
        <v>18</v>
      </c>
      <c r="E249" s="31" t="s">
        <v>19</v>
      </c>
      <c r="F249" s="15">
        <v>31500</v>
      </c>
      <c r="G249" s="71"/>
    </row>
    <row r="250" spans="1:7" ht="15.75">
      <c r="A250" s="30" t="s">
        <v>365</v>
      </c>
      <c r="B250" s="12" t="s">
        <v>366</v>
      </c>
      <c r="C250" s="12" t="s">
        <v>364</v>
      </c>
      <c r="D250" s="15" t="s">
        <v>18</v>
      </c>
      <c r="E250" s="31" t="s">
        <v>19</v>
      </c>
      <c r="F250" s="15">
        <v>31500</v>
      </c>
      <c r="G250" s="71"/>
    </row>
    <row r="251" spans="1:7" ht="15.75">
      <c r="A251" s="30" t="s">
        <v>367</v>
      </c>
      <c r="B251" s="12" t="s">
        <v>368</v>
      </c>
      <c r="C251" s="12" t="s">
        <v>364</v>
      </c>
      <c r="D251" s="15" t="s">
        <v>18</v>
      </c>
      <c r="E251" s="31" t="s">
        <v>19</v>
      </c>
      <c r="F251" s="15">
        <v>31500</v>
      </c>
      <c r="G251" s="71"/>
    </row>
    <row r="252" spans="1:7" ht="15.75">
      <c r="A252" s="30" t="s">
        <v>369</v>
      </c>
      <c r="B252" s="12" t="s">
        <v>370</v>
      </c>
      <c r="C252" s="12" t="s">
        <v>364</v>
      </c>
      <c r="D252" s="15" t="s">
        <v>18</v>
      </c>
      <c r="E252" s="31" t="s">
        <v>19</v>
      </c>
      <c r="F252" s="15">
        <v>31500</v>
      </c>
      <c r="G252" s="71"/>
    </row>
    <row r="253" spans="1:7" ht="16.5" thickBot="1">
      <c r="A253" s="133">
        <v>761</v>
      </c>
      <c r="B253" s="85" t="s">
        <v>371</v>
      </c>
      <c r="C253" s="134" t="s">
        <v>372</v>
      </c>
      <c r="D253" s="95" t="s">
        <v>54</v>
      </c>
      <c r="E253" s="95" t="s">
        <v>19</v>
      </c>
      <c r="F253" s="86">
        <v>30000</v>
      </c>
      <c r="G253" s="71"/>
    </row>
    <row r="254" spans="1:7" ht="16.5" thickBot="1">
      <c r="A254" s="34"/>
      <c r="B254" s="24"/>
      <c r="C254" s="22">
        <f>+COUNTA(C247:C253)</f>
        <v>7</v>
      </c>
      <c r="D254" s="35"/>
      <c r="E254" s="35"/>
      <c r="F254" s="25">
        <f t="shared" ref="F254" si="15">SUM(F247:F253)</f>
        <v>281000</v>
      </c>
      <c r="G254" s="71"/>
    </row>
    <row r="255" spans="1:7" ht="16.5" thickBot="1">
      <c r="A255" s="26"/>
      <c r="B255" s="27"/>
      <c r="C255" s="42"/>
      <c r="D255" s="43"/>
      <c r="E255" s="43"/>
      <c r="F255" s="29"/>
      <c r="G255" s="71"/>
    </row>
    <row r="256" spans="1:7" ht="16.5" thickBot="1">
      <c r="A256" s="49"/>
      <c r="B256" s="49" t="s">
        <v>373</v>
      </c>
      <c r="C256" s="50"/>
      <c r="D256" s="51"/>
      <c r="E256" s="51"/>
      <c r="F256" s="50"/>
      <c r="G256" s="71"/>
    </row>
    <row r="257" spans="1:7" ht="15.75">
      <c r="A257" s="80" t="s">
        <v>374</v>
      </c>
      <c r="B257" s="135" t="s">
        <v>375</v>
      </c>
      <c r="C257" s="135" t="s">
        <v>30</v>
      </c>
      <c r="D257" s="88" t="s">
        <v>18</v>
      </c>
      <c r="E257" s="88" t="s">
        <v>19</v>
      </c>
      <c r="F257" s="136">
        <v>45000</v>
      </c>
      <c r="G257" s="71"/>
    </row>
    <row r="258" spans="1:7" ht="15.75">
      <c r="A258" s="30" t="s">
        <v>376</v>
      </c>
      <c r="B258" s="47" t="s">
        <v>377</v>
      </c>
      <c r="C258" s="47" t="s">
        <v>372</v>
      </c>
      <c r="D258" s="13" t="s">
        <v>54</v>
      </c>
      <c r="E258" s="13" t="s">
        <v>19</v>
      </c>
      <c r="F258" s="48">
        <v>22050</v>
      </c>
      <c r="G258" s="71"/>
    </row>
    <row r="259" spans="1:7" ht="15.75">
      <c r="A259" s="30" t="s">
        <v>378</v>
      </c>
      <c r="B259" s="12" t="s">
        <v>379</v>
      </c>
      <c r="C259" s="47" t="s">
        <v>372</v>
      </c>
      <c r="D259" s="15" t="s">
        <v>54</v>
      </c>
      <c r="E259" s="15" t="s">
        <v>19</v>
      </c>
      <c r="F259" s="14">
        <v>21450</v>
      </c>
      <c r="G259" s="71"/>
    </row>
    <row r="260" spans="1:7" ht="16.5" thickBot="1">
      <c r="A260" s="30" t="s">
        <v>380</v>
      </c>
      <c r="B260" s="12" t="s">
        <v>381</v>
      </c>
      <c r="C260" s="47" t="s">
        <v>372</v>
      </c>
      <c r="D260" s="13" t="s">
        <v>54</v>
      </c>
      <c r="E260" s="15" t="s">
        <v>19</v>
      </c>
      <c r="F260" s="14">
        <v>21450</v>
      </c>
      <c r="G260" s="71"/>
    </row>
    <row r="261" spans="1:7" ht="16.5" thickBot="1">
      <c r="A261" s="34"/>
      <c r="B261" s="24"/>
      <c r="C261" s="22">
        <f>+COUNTA(C257:C260)</f>
        <v>4</v>
      </c>
      <c r="D261" s="35"/>
      <c r="E261" s="35"/>
      <c r="F261" s="25">
        <f t="shared" ref="F261" si="16">SUM(F257:F260)</f>
        <v>109950</v>
      </c>
      <c r="G261" s="71"/>
    </row>
    <row r="262" spans="1:7" ht="15.75">
      <c r="A262" s="36"/>
      <c r="B262" s="37"/>
      <c r="C262" s="37"/>
      <c r="D262" s="38"/>
      <c r="E262" s="38"/>
      <c r="F262" s="37"/>
      <c r="G262" s="71"/>
    </row>
    <row r="263" spans="1:7" ht="15.75">
      <c r="A263" s="36"/>
      <c r="B263" s="37"/>
      <c r="C263" s="37"/>
      <c r="D263" s="38"/>
      <c r="E263" s="38"/>
      <c r="F263" s="37"/>
      <c r="G263" s="71"/>
    </row>
    <row r="264" spans="1:7" ht="15.75">
      <c r="A264" s="36"/>
      <c r="B264" s="37"/>
      <c r="C264" s="37"/>
      <c r="D264" s="38"/>
      <c r="E264" s="38"/>
      <c r="F264" s="37"/>
      <c r="G264" s="71"/>
    </row>
    <row r="265" spans="1:7" ht="15.75">
      <c r="A265" s="36"/>
      <c r="B265" s="37"/>
      <c r="C265" s="37"/>
      <c r="D265" s="38"/>
      <c r="E265" s="38"/>
      <c r="F265" s="37"/>
      <c r="G265" s="71"/>
    </row>
    <row r="266" spans="1:7" ht="15.75">
      <c r="A266" s="36"/>
      <c r="B266" s="37"/>
      <c r="C266" s="37"/>
      <c r="D266" s="38"/>
      <c r="E266" s="38"/>
      <c r="F266" s="37"/>
      <c r="G266" s="71"/>
    </row>
    <row r="267" spans="1:7" ht="16.5" thickBot="1">
      <c r="A267" s="36"/>
      <c r="B267" s="37"/>
      <c r="C267" s="37"/>
      <c r="D267" s="38"/>
      <c r="E267" s="38"/>
      <c r="F267" s="37"/>
      <c r="G267" s="71"/>
    </row>
    <row r="268" spans="1:7" ht="16.5" thickBot="1">
      <c r="A268" s="49"/>
      <c r="B268" s="49" t="s">
        <v>382</v>
      </c>
      <c r="C268" s="50"/>
      <c r="D268" s="51"/>
      <c r="E268" s="51"/>
      <c r="F268" s="50"/>
      <c r="G268" s="71"/>
    </row>
    <row r="269" spans="1:7" ht="20.100000000000001" customHeight="1" thickBot="1">
      <c r="A269" s="170" t="s">
        <v>383</v>
      </c>
      <c r="B269" s="171" t="s">
        <v>384</v>
      </c>
      <c r="C269" s="171" t="s">
        <v>30</v>
      </c>
      <c r="D269" s="158" t="s">
        <v>79</v>
      </c>
      <c r="E269" s="172" t="s">
        <v>19</v>
      </c>
      <c r="F269" s="173">
        <v>40000</v>
      </c>
      <c r="G269" s="71"/>
    </row>
    <row r="270" spans="1:7" ht="15.75">
      <c r="A270" s="112" t="s">
        <v>385</v>
      </c>
      <c r="B270" s="113" t="s">
        <v>386</v>
      </c>
      <c r="C270" s="81" t="s">
        <v>387</v>
      </c>
      <c r="D270" s="88" t="s">
        <v>54</v>
      </c>
      <c r="E270" s="82" t="s">
        <v>19</v>
      </c>
      <c r="F270" s="83">
        <v>22050</v>
      </c>
      <c r="G270" s="71"/>
    </row>
    <row r="271" spans="1:7" ht="15.75">
      <c r="A271" s="137" t="s">
        <v>388</v>
      </c>
      <c r="B271" s="11" t="s">
        <v>389</v>
      </c>
      <c r="C271" s="12" t="s">
        <v>387</v>
      </c>
      <c r="D271" s="15" t="s">
        <v>35</v>
      </c>
      <c r="E271" s="15" t="s">
        <v>31</v>
      </c>
      <c r="F271" s="14">
        <v>30000</v>
      </c>
      <c r="G271" s="71"/>
    </row>
    <row r="272" spans="1:7" ht="15.75">
      <c r="A272" s="137" t="s">
        <v>390</v>
      </c>
      <c r="B272" s="11" t="s">
        <v>391</v>
      </c>
      <c r="C272" s="12" t="s">
        <v>387</v>
      </c>
      <c r="D272" s="13" t="s">
        <v>54</v>
      </c>
      <c r="E272" s="15" t="s">
        <v>19</v>
      </c>
      <c r="F272" s="14">
        <v>22050</v>
      </c>
      <c r="G272" s="71"/>
    </row>
    <row r="273" spans="1:7" ht="15.75">
      <c r="A273" s="137" t="s">
        <v>392</v>
      </c>
      <c r="B273" s="11" t="s">
        <v>393</v>
      </c>
      <c r="C273" s="12" t="s">
        <v>387</v>
      </c>
      <c r="D273" s="13" t="s">
        <v>54</v>
      </c>
      <c r="E273" s="15" t="s">
        <v>19</v>
      </c>
      <c r="F273" s="14">
        <v>22050</v>
      </c>
      <c r="G273" s="71"/>
    </row>
    <row r="274" spans="1:7" ht="15.75">
      <c r="A274" s="114" t="s">
        <v>394</v>
      </c>
      <c r="B274" s="11" t="s">
        <v>395</v>
      </c>
      <c r="C274" s="12" t="s">
        <v>387</v>
      </c>
      <c r="D274" s="13" t="s">
        <v>54</v>
      </c>
      <c r="E274" s="15" t="s">
        <v>19</v>
      </c>
      <c r="F274" s="14">
        <v>22050</v>
      </c>
      <c r="G274" s="71"/>
    </row>
    <row r="275" spans="1:7" ht="15.75">
      <c r="A275" s="137" t="s">
        <v>396</v>
      </c>
      <c r="B275" s="11" t="s">
        <v>397</v>
      </c>
      <c r="C275" s="12" t="s">
        <v>387</v>
      </c>
      <c r="D275" s="13" t="s">
        <v>54</v>
      </c>
      <c r="E275" s="15" t="s">
        <v>19</v>
      </c>
      <c r="F275" s="14">
        <v>21450</v>
      </c>
      <c r="G275" s="71"/>
    </row>
    <row r="276" spans="1:7" ht="16.5" thickBot="1">
      <c r="A276" s="138">
        <v>760</v>
      </c>
      <c r="B276" s="139" t="s">
        <v>398</v>
      </c>
      <c r="C276" s="85" t="s">
        <v>387</v>
      </c>
      <c r="D276" s="95" t="s">
        <v>54</v>
      </c>
      <c r="E276" s="124" t="s">
        <v>31</v>
      </c>
      <c r="F276" s="86">
        <v>21450</v>
      </c>
      <c r="G276" s="71"/>
    </row>
    <row r="277" spans="1:7" ht="16.5" thickBot="1">
      <c r="A277" s="41"/>
      <c r="B277" s="21"/>
      <c r="C277" s="22">
        <f>+COUNTA(C270:C276)</f>
        <v>7</v>
      </c>
      <c r="D277" s="35"/>
      <c r="E277" s="35"/>
      <c r="F277" s="25">
        <f>SUM(F270:F276)</f>
        <v>161100</v>
      </c>
      <c r="G277" s="71"/>
    </row>
    <row r="278" spans="1:7" ht="16.5" thickBot="1">
      <c r="A278" s="36"/>
      <c r="B278" s="37"/>
      <c r="C278" s="37"/>
      <c r="D278" s="38"/>
      <c r="E278" s="38"/>
      <c r="F278" s="37"/>
      <c r="G278" s="71"/>
    </row>
    <row r="279" spans="1:7" ht="16.5" thickBot="1">
      <c r="A279" s="49"/>
      <c r="B279" s="49" t="s">
        <v>399</v>
      </c>
      <c r="C279" s="50"/>
      <c r="D279" s="51"/>
      <c r="E279" s="51"/>
      <c r="F279" s="50"/>
      <c r="G279" s="71"/>
    </row>
    <row r="280" spans="1:7" ht="20.100000000000001" customHeight="1" thickBot="1">
      <c r="A280" s="174" t="s">
        <v>400</v>
      </c>
      <c r="B280" s="175" t="s">
        <v>401</v>
      </c>
      <c r="C280" s="175" t="s">
        <v>30</v>
      </c>
      <c r="D280" s="158" t="s">
        <v>79</v>
      </c>
      <c r="E280" s="176" t="s">
        <v>31</v>
      </c>
      <c r="F280" s="177">
        <v>100000</v>
      </c>
      <c r="G280" s="71"/>
    </row>
    <row r="281" spans="1:7" ht="20.100000000000001" customHeight="1" thickBot="1">
      <c r="A281" s="202" t="s">
        <v>402</v>
      </c>
      <c r="B281" s="203" t="s">
        <v>403</v>
      </c>
      <c r="C281" s="204" t="s">
        <v>404</v>
      </c>
      <c r="D281" s="158" t="s">
        <v>79</v>
      </c>
      <c r="E281" s="205" t="s">
        <v>19</v>
      </c>
      <c r="F281" s="183">
        <v>50000</v>
      </c>
      <c r="G281" s="71"/>
    </row>
    <row r="282" spans="1:7" ht="15.75">
      <c r="A282" s="80" t="s">
        <v>405</v>
      </c>
      <c r="B282" s="81" t="s">
        <v>406</v>
      </c>
      <c r="C282" s="81" t="s">
        <v>407</v>
      </c>
      <c r="D282" s="82" t="s">
        <v>18</v>
      </c>
      <c r="E282" s="82" t="s">
        <v>19</v>
      </c>
      <c r="F282" s="83">
        <v>31227.29</v>
      </c>
      <c r="G282" s="71"/>
    </row>
    <row r="283" spans="1:7" ht="15.75">
      <c r="A283" s="30" t="s">
        <v>408</v>
      </c>
      <c r="B283" s="12" t="s">
        <v>409</v>
      </c>
      <c r="C283" s="12" t="s">
        <v>84</v>
      </c>
      <c r="D283" s="13" t="s">
        <v>54</v>
      </c>
      <c r="E283" s="15" t="s">
        <v>19</v>
      </c>
      <c r="F283" s="14">
        <v>30000</v>
      </c>
      <c r="G283" s="71"/>
    </row>
    <row r="284" spans="1:7" ht="15.75">
      <c r="A284" s="63">
        <v>151</v>
      </c>
      <c r="B284" s="64" t="s">
        <v>410</v>
      </c>
      <c r="C284" s="57" t="s">
        <v>411</v>
      </c>
      <c r="D284" s="31" t="s">
        <v>15</v>
      </c>
      <c r="E284" s="31" t="s">
        <v>19</v>
      </c>
      <c r="F284" s="65">
        <v>31500</v>
      </c>
      <c r="G284" s="71"/>
    </row>
    <row r="285" spans="1:7" ht="15.75">
      <c r="A285" s="30" t="s">
        <v>412</v>
      </c>
      <c r="B285" s="12" t="s">
        <v>413</v>
      </c>
      <c r="C285" s="12" t="s">
        <v>331</v>
      </c>
      <c r="D285" s="15" t="s">
        <v>35</v>
      </c>
      <c r="E285" s="15" t="s">
        <v>19</v>
      </c>
      <c r="F285" s="14">
        <v>22050</v>
      </c>
      <c r="G285" s="71"/>
    </row>
    <row r="286" spans="1:7" ht="15.75">
      <c r="A286" s="30" t="s">
        <v>414</v>
      </c>
      <c r="B286" s="12" t="s">
        <v>415</v>
      </c>
      <c r="C286" s="12" t="s">
        <v>353</v>
      </c>
      <c r="D286" s="15" t="s">
        <v>35</v>
      </c>
      <c r="E286" s="15" t="s">
        <v>19</v>
      </c>
      <c r="F286" s="14">
        <v>30000</v>
      </c>
      <c r="G286" s="71"/>
    </row>
    <row r="287" spans="1:7" ht="15.75">
      <c r="A287" s="32" t="s">
        <v>416</v>
      </c>
      <c r="B287" s="17" t="s">
        <v>417</v>
      </c>
      <c r="C287" s="17" t="s">
        <v>353</v>
      </c>
      <c r="D287" s="18" t="s">
        <v>35</v>
      </c>
      <c r="E287" s="18" t="s">
        <v>19</v>
      </c>
      <c r="F287" s="19">
        <v>22729.35</v>
      </c>
      <c r="G287" s="71"/>
    </row>
    <row r="288" spans="1:7" ht="16.5" thickBot="1">
      <c r="A288" s="84" t="s">
        <v>418</v>
      </c>
      <c r="B288" s="85" t="s">
        <v>419</v>
      </c>
      <c r="C288" s="85" t="s">
        <v>353</v>
      </c>
      <c r="D288" s="95" t="s">
        <v>54</v>
      </c>
      <c r="E288" s="86" t="s">
        <v>31</v>
      </c>
      <c r="F288" s="87">
        <v>21500</v>
      </c>
      <c r="G288" s="71"/>
    </row>
    <row r="289" spans="1:7" ht="16.5" thickBot="1">
      <c r="A289" s="34"/>
      <c r="B289" s="24"/>
      <c r="C289" s="22">
        <f>+COUNTA(C282:C288)</f>
        <v>7</v>
      </c>
      <c r="D289" s="35"/>
      <c r="E289" s="35"/>
      <c r="F289" s="25">
        <f t="shared" ref="F289" si="17">SUM(F282:F288)</f>
        <v>189006.64</v>
      </c>
      <c r="G289" s="71"/>
    </row>
    <row r="290" spans="1:7" ht="16.5" thickBot="1">
      <c r="A290" s="36"/>
      <c r="B290" s="37"/>
      <c r="C290" s="37"/>
      <c r="D290" s="38"/>
      <c r="E290" s="38"/>
      <c r="F290" s="37"/>
      <c r="G290" s="71"/>
    </row>
    <row r="291" spans="1:7" ht="16.5" thickBot="1">
      <c r="A291" s="49"/>
      <c r="B291" s="49" t="s">
        <v>420</v>
      </c>
      <c r="C291" s="50"/>
      <c r="D291" s="51"/>
      <c r="E291" s="51"/>
      <c r="F291" s="50"/>
      <c r="G291" s="71"/>
    </row>
    <row r="292" spans="1:7" ht="20.100000000000001" customHeight="1" thickBot="1">
      <c r="A292" s="206" t="s">
        <v>421</v>
      </c>
      <c r="B292" s="157" t="s">
        <v>422</v>
      </c>
      <c r="C292" s="157" t="s">
        <v>30</v>
      </c>
      <c r="D292" s="158" t="s">
        <v>79</v>
      </c>
      <c r="E292" s="180" t="s">
        <v>19</v>
      </c>
      <c r="F292" s="160">
        <v>35000</v>
      </c>
      <c r="G292" s="71"/>
    </row>
    <row r="293" spans="1:7" ht="20.100000000000001" customHeight="1" thickBot="1">
      <c r="A293" s="101" t="s">
        <v>423</v>
      </c>
      <c r="B293" s="89" t="s">
        <v>424</v>
      </c>
      <c r="C293" s="89" t="s">
        <v>30</v>
      </c>
      <c r="D293" s="158" t="s">
        <v>79</v>
      </c>
      <c r="E293" s="92" t="s">
        <v>31</v>
      </c>
      <c r="F293" s="91">
        <v>35000</v>
      </c>
      <c r="G293" s="71"/>
    </row>
    <row r="294" spans="1:7" ht="15.75">
      <c r="A294" s="80" t="s">
        <v>425</v>
      </c>
      <c r="B294" s="81" t="s">
        <v>426</v>
      </c>
      <c r="C294" s="81" t="s">
        <v>427</v>
      </c>
      <c r="D294" s="82" t="s">
        <v>18</v>
      </c>
      <c r="E294" s="82" t="s">
        <v>31</v>
      </c>
      <c r="F294" s="83">
        <v>55000</v>
      </c>
      <c r="G294" s="71"/>
    </row>
    <row r="295" spans="1:7" ht="15.75">
      <c r="A295" s="30" t="s">
        <v>428</v>
      </c>
      <c r="B295" s="12" t="s">
        <v>429</v>
      </c>
      <c r="C295" s="12" t="s">
        <v>53</v>
      </c>
      <c r="D295" s="13" t="s">
        <v>54</v>
      </c>
      <c r="E295" s="15" t="s">
        <v>19</v>
      </c>
      <c r="F295" s="14">
        <v>19800</v>
      </c>
      <c r="G295" s="71"/>
    </row>
    <row r="296" spans="1:7" ht="15.75">
      <c r="A296" s="30" t="s">
        <v>430</v>
      </c>
      <c r="B296" s="12" t="s">
        <v>431</v>
      </c>
      <c r="C296" s="12" t="s">
        <v>331</v>
      </c>
      <c r="D296" s="13" t="s">
        <v>54</v>
      </c>
      <c r="E296" s="15" t="s">
        <v>31</v>
      </c>
      <c r="F296" s="14">
        <v>22050</v>
      </c>
      <c r="G296" s="71"/>
    </row>
    <row r="297" spans="1:7" ht="15.75">
      <c r="A297" s="30" t="s">
        <v>432</v>
      </c>
      <c r="B297" s="12" t="s">
        <v>433</v>
      </c>
      <c r="C297" s="12" t="s">
        <v>353</v>
      </c>
      <c r="D297" s="13" t="s">
        <v>54</v>
      </c>
      <c r="E297" s="15" t="s">
        <v>19</v>
      </c>
      <c r="F297" s="14">
        <v>21450</v>
      </c>
      <c r="G297" s="71"/>
    </row>
    <row r="298" spans="1:7" ht="15.75">
      <c r="A298" s="30" t="s">
        <v>434</v>
      </c>
      <c r="B298" s="12" t="s">
        <v>435</v>
      </c>
      <c r="C298" s="12" t="s">
        <v>353</v>
      </c>
      <c r="D298" s="13" t="s">
        <v>54</v>
      </c>
      <c r="E298" s="15" t="s">
        <v>19</v>
      </c>
      <c r="F298" s="14">
        <v>21450</v>
      </c>
      <c r="G298" s="71"/>
    </row>
    <row r="299" spans="1:7" ht="15.75">
      <c r="A299" s="30" t="s">
        <v>436</v>
      </c>
      <c r="B299" s="12" t="s">
        <v>437</v>
      </c>
      <c r="C299" s="12" t="s">
        <v>353</v>
      </c>
      <c r="D299" s="13" t="s">
        <v>54</v>
      </c>
      <c r="E299" s="15" t="s">
        <v>19</v>
      </c>
      <c r="F299" s="14">
        <v>22050</v>
      </c>
      <c r="G299" s="71"/>
    </row>
    <row r="300" spans="1:7" ht="15.75">
      <c r="A300" s="30" t="s">
        <v>438</v>
      </c>
      <c r="B300" s="12" t="s">
        <v>439</v>
      </c>
      <c r="C300" s="12" t="s">
        <v>353</v>
      </c>
      <c r="D300" s="13" t="s">
        <v>54</v>
      </c>
      <c r="E300" s="15" t="s">
        <v>19</v>
      </c>
      <c r="F300" s="14">
        <v>21450</v>
      </c>
      <c r="G300" s="71"/>
    </row>
    <row r="301" spans="1:7" ht="15.75">
      <c r="A301" s="30" t="s">
        <v>440</v>
      </c>
      <c r="B301" s="12" t="s">
        <v>441</v>
      </c>
      <c r="C301" s="12" t="s">
        <v>353</v>
      </c>
      <c r="D301" s="13" t="s">
        <v>54</v>
      </c>
      <c r="E301" s="15" t="s">
        <v>19</v>
      </c>
      <c r="F301" s="14">
        <v>18130.2</v>
      </c>
      <c r="G301" s="71"/>
    </row>
    <row r="302" spans="1:7" ht="15.75">
      <c r="A302" s="30" t="s">
        <v>442</v>
      </c>
      <c r="B302" s="12" t="s">
        <v>443</v>
      </c>
      <c r="C302" s="12" t="s">
        <v>353</v>
      </c>
      <c r="D302" s="13" t="s">
        <v>54</v>
      </c>
      <c r="E302" s="15" t="s">
        <v>19</v>
      </c>
      <c r="F302" s="14">
        <v>21500</v>
      </c>
      <c r="G302" s="71"/>
    </row>
    <row r="303" spans="1:7" ht="15.75">
      <c r="A303" s="30" t="s">
        <v>444</v>
      </c>
      <c r="B303" s="12" t="s">
        <v>445</v>
      </c>
      <c r="C303" s="12" t="s">
        <v>194</v>
      </c>
      <c r="D303" s="15" t="s">
        <v>35</v>
      </c>
      <c r="E303" s="15" t="s">
        <v>19</v>
      </c>
      <c r="F303" s="14">
        <v>15400</v>
      </c>
      <c r="G303" s="71"/>
    </row>
    <row r="304" spans="1:7" ht="15.75">
      <c r="A304" s="30" t="s">
        <v>446</v>
      </c>
      <c r="B304" s="12" t="s">
        <v>447</v>
      </c>
      <c r="C304" s="12" t="s">
        <v>448</v>
      </c>
      <c r="D304" s="13" t="s">
        <v>54</v>
      </c>
      <c r="E304" s="15" t="s">
        <v>31</v>
      </c>
      <c r="F304" s="14">
        <v>11000</v>
      </c>
      <c r="G304" s="71"/>
    </row>
    <row r="305" spans="1:7" ht="15.75">
      <c r="A305" s="30" t="s">
        <v>449</v>
      </c>
      <c r="B305" s="12" t="s">
        <v>450</v>
      </c>
      <c r="C305" s="12" t="s">
        <v>448</v>
      </c>
      <c r="D305" s="13" t="s">
        <v>54</v>
      </c>
      <c r="E305" s="15" t="s">
        <v>31</v>
      </c>
      <c r="F305" s="14">
        <v>11000</v>
      </c>
      <c r="G305" s="71"/>
    </row>
    <row r="306" spans="1:7" ht="16.5" thickBot="1">
      <c r="A306" s="84" t="s">
        <v>451</v>
      </c>
      <c r="B306" s="85" t="s">
        <v>452</v>
      </c>
      <c r="C306" s="85" t="s">
        <v>194</v>
      </c>
      <c r="D306" s="95" t="s">
        <v>54</v>
      </c>
      <c r="E306" s="86" t="s">
        <v>19</v>
      </c>
      <c r="F306" s="87">
        <v>15400</v>
      </c>
      <c r="G306" s="71"/>
    </row>
    <row r="307" spans="1:7" ht="16.5" thickBot="1">
      <c r="A307" s="75"/>
      <c r="B307" s="76"/>
      <c r="C307" s="77">
        <f>+COUNTA(C294:C306)</f>
        <v>13</v>
      </c>
      <c r="D307" s="78"/>
      <c r="E307" s="78"/>
      <c r="F307" s="79">
        <f t="shared" ref="F307" si="18">SUM(F294:F306)</f>
        <v>275680.2</v>
      </c>
      <c r="G307" s="71"/>
    </row>
    <row r="308" spans="1:7" ht="16.5" thickBot="1">
      <c r="A308" s="60"/>
      <c r="B308" s="61"/>
      <c r="C308" s="61"/>
      <c r="D308" s="62"/>
      <c r="E308" s="62"/>
      <c r="F308" s="61"/>
      <c r="G308" s="71"/>
    </row>
    <row r="309" spans="1:7" ht="16.5" thickBot="1">
      <c r="A309" s="49"/>
      <c r="B309" s="49" t="s">
        <v>453</v>
      </c>
      <c r="C309" s="50"/>
      <c r="D309" s="51"/>
      <c r="E309" s="51"/>
      <c r="F309" s="50"/>
      <c r="G309" s="71"/>
    </row>
    <row r="310" spans="1:7" ht="16.5" thickBot="1">
      <c r="A310" s="107">
        <v>384</v>
      </c>
      <c r="B310" s="108" t="s">
        <v>454</v>
      </c>
      <c r="C310" s="108" t="s">
        <v>88</v>
      </c>
      <c r="D310" s="109" t="s">
        <v>54</v>
      </c>
      <c r="E310" s="110" t="s">
        <v>19</v>
      </c>
      <c r="F310" s="111">
        <v>31500</v>
      </c>
      <c r="G310" s="71"/>
    </row>
    <row r="311" spans="1:7" ht="16.5" thickBot="1">
      <c r="A311" s="34"/>
      <c r="B311" s="24"/>
      <c r="C311" s="22">
        <f>+COUNTA(C310)</f>
        <v>1</v>
      </c>
      <c r="D311" s="35"/>
      <c r="E311" s="35"/>
      <c r="F311" s="25">
        <f t="shared" ref="F311" si="19">SUM(F310:F310)</f>
        <v>31500</v>
      </c>
      <c r="G311" s="71"/>
    </row>
    <row r="312" spans="1:7" ht="15.75">
      <c r="A312" s="36"/>
      <c r="B312" s="37"/>
      <c r="C312" s="37"/>
      <c r="D312" s="38"/>
      <c r="E312" s="38"/>
      <c r="F312" s="37"/>
      <c r="G312" s="71"/>
    </row>
    <row r="313" spans="1:7" ht="15.75">
      <c r="A313" s="36"/>
      <c r="B313" s="37"/>
      <c r="C313" s="37"/>
      <c r="D313" s="38"/>
      <c r="E313" s="38"/>
      <c r="F313" s="37"/>
      <c r="G313" s="71"/>
    </row>
    <row r="314" spans="1:7" ht="16.5" thickBot="1">
      <c r="A314" s="36"/>
      <c r="B314" s="37"/>
      <c r="C314" s="37"/>
      <c r="D314" s="38"/>
      <c r="E314" s="38"/>
      <c r="F314" s="37"/>
      <c r="G314" s="71"/>
    </row>
    <row r="315" spans="1:7" ht="16.5" thickBot="1">
      <c r="A315" s="72"/>
      <c r="B315" s="72" t="s">
        <v>455</v>
      </c>
      <c r="C315" s="73"/>
      <c r="D315" s="74"/>
      <c r="E315" s="74"/>
      <c r="F315" s="73"/>
      <c r="G315" s="71"/>
    </row>
    <row r="316" spans="1:7" s="71" customFormat="1" ht="20.100000000000001" customHeight="1" thickBot="1">
      <c r="A316" s="199" t="s">
        <v>456</v>
      </c>
      <c r="B316" s="9" t="s">
        <v>457</v>
      </c>
      <c r="C316" s="9" t="s">
        <v>458</v>
      </c>
      <c r="D316" s="158" t="s">
        <v>79</v>
      </c>
      <c r="E316" s="39" t="s">
        <v>19</v>
      </c>
      <c r="F316" s="10">
        <v>40000</v>
      </c>
    </row>
    <row r="317" spans="1:7" ht="15.75">
      <c r="A317" s="80" t="s">
        <v>459</v>
      </c>
      <c r="B317" s="219" t="s">
        <v>29</v>
      </c>
      <c r="C317" s="219" t="s">
        <v>30</v>
      </c>
      <c r="D317" s="220" t="s">
        <v>18</v>
      </c>
      <c r="E317" s="220" t="s">
        <v>31</v>
      </c>
      <c r="F317" s="221">
        <v>100000</v>
      </c>
      <c r="G317" s="71"/>
    </row>
    <row r="318" spans="1:7" ht="15.75">
      <c r="A318" s="30" t="s">
        <v>460</v>
      </c>
      <c r="B318" s="12" t="s">
        <v>461</v>
      </c>
      <c r="C318" s="12" t="s">
        <v>462</v>
      </c>
      <c r="D318" s="13" t="s">
        <v>54</v>
      </c>
      <c r="E318" s="15" t="s">
        <v>19</v>
      </c>
      <c r="F318" s="14">
        <v>40000</v>
      </c>
      <c r="G318" s="71"/>
    </row>
    <row r="319" spans="1:7" ht="16.5" thickBot="1">
      <c r="A319" s="84" t="s">
        <v>463</v>
      </c>
      <c r="B319" s="85" t="s">
        <v>464</v>
      </c>
      <c r="C319" s="85" t="s">
        <v>462</v>
      </c>
      <c r="D319" s="95" t="s">
        <v>54</v>
      </c>
      <c r="E319" s="86" t="s">
        <v>31</v>
      </c>
      <c r="F319" s="87">
        <v>35000</v>
      </c>
      <c r="G319" s="71"/>
    </row>
    <row r="320" spans="1:7" ht="16.5" thickBot="1">
      <c r="A320" s="75"/>
      <c r="B320" s="76"/>
      <c r="C320" s="77">
        <f>+COUNTA(C317:C319)</f>
        <v>3</v>
      </c>
      <c r="D320" s="78"/>
      <c r="E320" s="78"/>
      <c r="F320" s="79">
        <f>SUM(F317:F319)</f>
        <v>175000</v>
      </c>
      <c r="G320" s="71"/>
    </row>
    <row r="321" spans="1:7" ht="15.75" thickBot="1">
      <c r="G321" s="71"/>
    </row>
    <row r="322" spans="1:7" ht="20.100000000000001" customHeight="1" thickBot="1">
      <c r="A322" s="162"/>
      <c r="B322" s="162" t="s">
        <v>465</v>
      </c>
      <c r="C322" s="163"/>
      <c r="D322" s="163"/>
      <c r="E322" s="163"/>
      <c r="F322" s="163"/>
      <c r="G322" s="71"/>
    </row>
    <row r="323" spans="1:7" ht="20.100000000000001" customHeight="1" thickBot="1">
      <c r="A323" s="164" t="s">
        <v>466</v>
      </c>
      <c r="B323" s="98" t="s">
        <v>467</v>
      </c>
      <c r="C323" s="98" t="s">
        <v>30</v>
      </c>
      <c r="D323" s="165" t="s">
        <v>79</v>
      </c>
      <c r="E323" s="166" t="s">
        <v>31</v>
      </c>
      <c r="F323" s="100">
        <v>100000</v>
      </c>
      <c r="G323" s="71"/>
    </row>
    <row r="324" spans="1:7" ht="20.100000000000001" customHeight="1" thickBot="1">
      <c r="A324" s="156"/>
      <c r="B324" s="157" t="s">
        <v>468</v>
      </c>
      <c r="C324" s="157" t="s">
        <v>469</v>
      </c>
      <c r="D324" s="165" t="s">
        <v>79</v>
      </c>
      <c r="E324" s="176" t="s">
        <v>19</v>
      </c>
      <c r="F324" s="160">
        <v>45000</v>
      </c>
      <c r="G324" s="71"/>
    </row>
    <row r="325" spans="1:7" ht="20.100000000000001" customHeight="1" thickBot="1">
      <c r="A325" s="167" t="s">
        <v>470</v>
      </c>
      <c r="B325" s="89" t="s">
        <v>471</v>
      </c>
      <c r="C325" s="89" t="s">
        <v>472</v>
      </c>
      <c r="D325" s="165" t="s">
        <v>79</v>
      </c>
      <c r="E325" s="168" t="s">
        <v>19</v>
      </c>
      <c r="F325" s="91">
        <v>70000</v>
      </c>
      <c r="G325" s="71"/>
    </row>
    <row r="326" spans="1:7" ht="20.100000000000001" customHeight="1" thickBot="1">
      <c r="A326" s="44"/>
      <c r="B326" s="22"/>
      <c r="C326" s="22">
        <f>+COUNTA(C322:C325)</f>
        <v>3</v>
      </c>
      <c r="D326" s="22"/>
      <c r="E326" s="45"/>
      <c r="F326" s="46">
        <f>SUM(F323:F325)</f>
        <v>215000</v>
      </c>
      <c r="G326" s="71"/>
    </row>
    <row r="327" spans="1:7">
      <c r="G327" s="71"/>
    </row>
    <row r="328" spans="1:7">
      <c r="G328" s="71"/>
    </row>
    <row r="329" spans="1:7">
      <c r="G329" s="71"/>
    </row>
    <row r="330" spans="1:7">
      <c r="G330" s="71"/>
    </row>
    <row r="331" spans="1:7">
      <c r="G331" s="71"/>
    </row>
    <row r="332" spans="1:7">
      <c r="G332" s="71"/>
    </row>
    <row r="333" spans="1:7">
      <c r="G333" s="71"/>
    </row>
    <row r="334" spans="1:7">
      <c r="G334" s="71"/>
    </row>
    <row r="335" spans="1:7">
      <c r="G335" s="71"/>
    </row>
    <row r="336" spans="1:7">
      <c r="G336" s="71"/>
    </row>
    <row r="337" spans="7:7">
      <c r="G337" s="71"/>
    </row>
    <row r="338" spans="7:7">
      <c r="G338" s="71"/>
    </row>
    <row r="339" spans="7:7">
      <c r="G339" s="71"/>
    </row>
    <row r="340" spans="7:7">
      <c r="G340" s="71"/>
    </row>
    <row r="341" spans="7:7">
      <c r="G341" s="71"/>
    </row>
  </sheetData>
  <mergeCells count="3">
    <mergeCell ref="A1:F1"/>
    <mergeCell ref="A2:F2"/>
    <mergeCell ref="A3:F3"/>
  </mergeCells>
  <phoneticPr fontId="13" type="noConversion"/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CC8E-E0D6-46A9-9A20-4AF4685E812A}">
  <dimension ref="A1:G89"/>
  <sheetViews>
    <sheetView topLeftCell="A29" workbookViewId="0">
      <selection activeCell="M20" sqref="M20"/>
    </sheetView>
  </sheetViews>
  <sheetFormatPr defaultColWidth="9.140625" defaultRowHeight="20.100000000000001" customHeight="1"/>
  <cols>
    <col min="2" max="2" width="39.5703125" customWidth="1"/>
    <col min="3" max="3" width="34.85546875" bestFit="1" customWidth="1"/>
    <col min="4" max="4" width="26.42578125" bestFit="1" customWidth="1"/>
    <col min="5" max="5" width="8.140625" bestFit="1" customWidth="1"/>
    <col min="6" max="6" width="14.28515625" bestFit="1" customWidth="1"/>
    <col min="7" max="7" width="9.140625" style="71"/>
  </cols>
  <sheetData>
    <row r="1" spans="1:7" ht="20.100000000000001" customHeight="1">
      <c r="A1" s="150"/>
      <c r="B1" s="150"/>
      <c r="C1" s="150"/>
      <c r="D1" s="150"/>
      <c r="E1" s="150"/>
      <c r="F1" s="150"/>
    </row>
    <row r="2" spans="1:7" ht="20.100000000000001" customHeight="1">
      <c r="A2" s="238" t="s">
        <v>42</v>
      </c>
      <c r="B2" s="238"/>
      <c r="C2" s="238"/>
      <c r="D2" s="238"/>
      <c r="E2" s="238"/>
      <c r="F2" s="238"/>
    </row>
    <row r="3" spans="1:7" ht="20.100000000000001" customHeight="1">
      <c r="A3" s="238" t="s">
        <v>473</v>
      </c>
      <c r="B3" s="238"/>
      <c r="C3" s="238"/>
      <c r="D3" s="238"/>
      <c r="E3" s="238"/>
      <c r="F3" s="238"/>
    </row>
    <row r="4" spans="1:7" ht="20.100000000000001" customHeight="1">
      <c r="A4" s="239">
        <v>45931</v>
      </c>
      <c r="B4" s="239"/>
      <c r="C4" s="239"/>
      <c r="D4" s="239"/>
      <c r="E4" s="239"/>
      <c r="F4" s="239"/>
    </row>
    <row r="5" spans="1:7" ht="20.100000000000001" customHeight="1">
      <c r="A5" s="1"/>
      <c r="B5" s="1"/>
      <c r="C5" s="1"/>
      <c r="D5" s="1"/>
      <c r="E5" s="1"/>
      <c r="F5" s="1"/>
    </row>
    <row r="6" spans="1:7" ht="20.100000000000001" customHeight="1">
      <c r="A6" s="1"/>
      <c r="B6" s="1"/>
      <c r="C6" s="1"/>
      <c r="D6" s="1"/>
      <c r="E6" s="1"/>
      <c r="F6" s="1"/>
    </row>
    <row r="7" spans="1:7" ht="20.100000000000001" customHeight="1">
      <c r="A7" s="1"/>
      <c r="B7" s="1"/>
      <c r="C7" s="1"/>
      <c r="D7" s="1"/>
      <c r="E7" s="1"/>
      <c r="F7" s="1"/>
    </row>
    <row r="8" spans="1:7" ht="20.100000000000001" customHeight="1" thickBot="1">
      <c r="A8" s="2"/>
      <c r="B8" s="151"/>
      <c r="C8" s="3"/>
      <c r="D8" s="3"/>
      <c r="E8" s="3"/>
      <c r="F8" s="4"/>
    </row>
    <row r="9" spans="1:7" ht="48" customHeight="1" thickBot="1">
      <c r="A9" s="152" t="s">
        <v>44</v>
      </c>
      <c r="B9" s="153" t="s">
        <v>9</v>
      </c>
      <c r="C9" s="154" t="s">
        <v>10</v>
      </c>
      <c r="D9" s="155" t="s">
        <v>474</v>
      </c>
      <c r="E9" s="152" t="s">
        <v>475</v>
      </c>
      <c r="F9" s="152" t="s">
        <v>476</v>
      </c>
    </row>
    <row r="10" spans="1:7" ht="20.100000000000001" customHeight="1" thickBot="1">
      <c r="A10" s="68"/>
      <c r="B10" s="68" t="s">
        <v>477</v>
      </c>
      <c r="C10" s="69"/>
      <c r="D10" s="69"/>
      <c r="E10" s="69"/>
      <c r="F10" s="69"/>
    </row>
    <row r="11" spans="1:7" ht="20.100000000000001" customHeight="1" thickBot="1">
      <c r="A11" s="156" t="s">
        <v>478</v>
      </c>
      <c r="B11" s="157" t="s">
        <v>78</v>
      </c>
      <c r="C11" s="157" t="s">
        <v>30</v>
      </c>
      <c r="D11" s="158" t="s">
        <v>79</v>
      </c>
      <c r="E11" s="159" t="s">
        <v>31</v>
      </c>
      <c r="F11" s="160">
        <v>110000</v>
      </c>
      <c r="G11" s="71">
        <v>1</v>
      </c>
    </row>
    <row r="12" spans="1:7" ht="20.100000000000001" customHeight="1" thickBot="1">
      <c r="A12" s="44"/>
      <c r="B12" s="22"/>
      <c r="C12" s="22">
        <f>+COUNTA(C11:C11)</f>
        <v>1</v>
      </c>
      <c r="D12" s="158"/>
      <c r="E12" s="45"/>
      <c r="F12" s="46">
        <f t="shared" ref="F12" si="0">SUM(F11:F11)</f>
        <v>110000</v>
      </c>
    </row>
    <row r="13" spans="1:7" ht="20.100000000000001" customHeight="1" thickBot="1">
      <c r="D13" s="158"/>
      <c r="E13" s="161"/>
    </row>
    <row r="14" spans="1:7" ht="20.100000000000001" customHeight="1" thickBot="1">
      <c r="A14" s="162"/>
      <c r="B14" s="162" t="s">
        <v>465</v>
      </c>
      <c r="C14" s="163"/>
      <c r="D14" s="158"/>
      <c r="E14" s="163"/>
      <c r="F14" s="163"/>
    </row>
    <row r="15" spans="1:7" ht="20.100000000000001" customHeight="1" thickBot="1">
      <c r="A15" s="162">
        <v>1</v>
      </c>
      <c r="B15" s="157" t="s">
        <v>468</v>
      </c>
      <c r="C15" s="157" t="s">
        <v>469</v>
      </c>
      <c r="D15" s="158" t="s">
        <v>79</v>
      </c>
      <c r="E15" s="176" t="s">
        <v>19</v>
      </c>
      <c r="F15" s="160">
        <v>45000</v>
      </c>
    </row>
    <row r="16" spans="1:7" ht="20.100000000000001" customHeight="1" thickBot="1">
      <c r="A16" s="162">
        <v>2</v>
      </c>
      <c r="B16" s="98" t="s">
        <v>467</v>
      </c>
      <c r="C16" s="98" t="s">
        <v>30</v>
      </c>
      <c r="D16" s="158" t="s">
        <v>79</v>
      </c>
      <c r="E16" s="166" t="s">
        <v>31</v>
      </c>
      <c r="F16" s="100">
        <v>100000</v>
      </c>
    </row>
    <row r="17" spans="1:6" ht="20.100000000000001" customHeight="1" thickBot="1">
      <c r="A17" s="162">
        <v>3</v>
      </c>
      <c r="B17" s="89" t="s">
        <v>471</v>
      </c>
      <c r="C17" s="89" t="s">
        <v>472</v>
      </c>
      <c r="D17" s="158" t="s">
        <v>79</v>
      </c>
      <c r="E17" s="168" t="s">
        <v>19</v>
      </c>
      <c r="F17" s="91">
        <v>70000</v>
      </c>
    </row>
    <row r="18" spans="1:6" ht="20.100000000000001" customHeight="1" thickBot="1">
      <c r="A18" s="44"/>
      <c r="B18" s="22"/>
      <c r="C18" s="22">
        <f>+COUNTA(C14:C17)</f>
        <v>3</v>
      </c>
      <c r="D18" s="158"/>
      <c r="E18" s="45"/>
      <c r="F18" s="46">
        <f t="shared" ref="F18" si="1">SUM(F16:F17)</f>
        <v>170000</v>
      </c>
    </row>
    <row r="19" spans="1:6" ht="20.100000000000001" customHeight="1" thickBot="1">
      <c r="D19" s="158"/>
      <c r="E19" s="161"/>
    </row>
    <row r="20" spans="1:6" ht="20.100000000000001" customHeight="1" thickBot="1">
      <c r="A20" s="68"/>
      <c r="B20" s="169" t="s">
        <v>89</v>
      </c>
      <c r="C20" s="69"/>
      <c r="D20" s="158" t="s">
        <v>79</v>
      </c>
      <c r="E20" s="69"/>
      <c r="F20" s="69"/>
    </row>
    <row r="21" spans="1:6" ht="20.100000000000001" customHeight="1" thickBot="1">
      <c r="A21" s="170" t="s">
        <v>95</v>
      </c>
      <c r="B21" s="171" t="s">
        <v>96</v>
      </c>
      <c r="C21" s="171" t="s">
        <v>30</v>
      </c>
      <c r="D21" s="158" t="s">
        <v>79</v>
      </c>
      <c r="E21" s="172" t="s">
        <v>19</v>
      </c>
      <c r="F21" s="173">
        <v>90000</v>
      </c>
    </row>
    <row r="22" spans="1:6" ht="20.100000000000001" customHeight="1" thickBot="1">
      <c r="A22" s="44"/>
      <c r="B22" s="22"/>
      <c r="C22" s="22">
        <f>+COUNTA(C20:C21)</f>
        <v>1</v>
      </c>
      <c r="D22" s="158" t="s">
        <v>79</v>
      </c>
      <c r="E22" s="45"/>
      <c r="F22" s="46">
        <f>+F21</f>
        <v>90000</v>
      </c>
    </row>
    <row r="23" spans="1:6" ht="20.100000000000001" customHeight="1" thickBot="1">
      <c r="D23" s="158"/>
      <c r="E23" s="161"/>
    </row>
    <row r="24" spans="1:6" ht="20.100000000000001" customHeight="1" thickBot="1">
      <c r="A24" s="68"/>
      <c r="B24" s="169" t="s">
        <v>99</v>
      </c>
      <c r="C24" s="69"/>
      <c r="D24" s="158" t="s">
        <v>79</v>
      </c>
      <c r="E24" s="69"/>
      <c r="F24" s="69"/>
    </row>
    <row r="25" spans="1:6" ht="20.100000000000001" customHeight="1" thickBot="1">
      <c r="A25" s="174" t="s">
        <v>100</v>
      </c>
      <c r="B25" s="175" t="s">
        <v>101</v>
      </c>
      <c r="C25" s="175" t="s">
        <v>30</v>
      </c>
      <c r="D25" s="158" t="s">
        <v>79</v>
      </c>
      <c r="E25" s="176" t="s">
        <v>19</v>
      </c>
      <c r="F25" s="177">
        <v>95000</v>
      </c>
    </row>
    <row r="26" spans="1:6" ht="20.100000000000001" customHeight="1" thickBot="1">
      <c r="A26" s="44"/>
      <c r="B26" s="22"/>
      <c r="C26" s="22">
        <f>+COUNTA(C24:C25)</f>
        <v>1</v>
      </c>
      <c r="D26" s="158" t="s">
        <v>79</v>
      </c>
      <c r="E26" s="45"/>
      <c r="F26" s="46">
        <f t="shared" ref="F26" si="2">SUM(F25)</f>
        <v>95000</v>
      </c>
    </row>
    <row r="27" spans="1:6" ht="20.100000000000001" customHeight="1" thickBot="1">
      <c r="A27" s="71"/>
      <c r="B27" s="71"/>
      <c r="C27" s="71"/>
      <c r="D27" s="158"/>
      <c r="E27" s="71"/>
      <c r="F27" s="71"/>
    </row>
    <row r="28" spans="1:6" ht="20.100000000000001" customHeight="1" thickBot="1">
      <c r="A28" s="68"/>
      <c r="B28" s="68" t="s">
        <v>106</v>
      </c>
      <c r="C28" s="69"/>
      <c r="D28" s="158"/>
      <c r="E28" s="70"/>
      <c r="F28" s="69"/>
    </row>
    <row r="29" spans="1:6" ht="20.100000000000001" customHeight="1" thickBot="1">
      <c r="A29" s="179">
        <v>1</v>
      </c>
      <c r="B29" s="157" t="s">
        <v>107</v>
      </c>
      <c r="C29" s="175" t="s">
        <v>30</v>
      </c>
      <c r="D29" s="158" t="s">
        <v>79</v>
      </c>
      <c r="E29" s="180" t="s">
        <v>31</v>
      </c>
      <c r="F29" s="177">
        <v>110000</v>
      </c>
    </row>
    <row r="30" spans="1:6" ht="20.100000000000001" customHeight="1" thickBot="1">
      <c r="A30" s="179">
        <v>2</v>
      </c>
      <c r="B30" s="182" t="s">
        <v>108</v>
      </c>
      <c r="C30" s="182" t="s">
        <v>109</v>
      </c>
      <c r="D30" s="158" t="s">
        <v>79</v>
      </c>
      <c r="E30" s="181" t="s">
        <v>19</v>
      </c>
      <c r="F30" s="178">
        <v>50000</v>
      </c>
    </row>
    <row r="31" spans="1:6" ht="20.100000000000001" customHeight="1" thickBot="1">
      <c r="A31" s="179">
        <v>3</v>
      </c>
      <c r="B31" s="89" t="s">
        <v>110</v>
      </c>
      <c r="C31" s="89" t="s">
        <v>111</v>
      </c>
      <c r="D31" s="158" t="s">
        <v>79</v>
      </c>
      <c r="E31" s="92" t="s">
        <v>19</v>
      </c>
      <c r="F31" s="178">
        <v>50000</v>
      </c>
    </row>
    <row r="32" spans="1:6" ht="20.100000000000001" customHeight="1" thickBot="1">
      <c r="A32" s="179">
        <v>4</v>
      </c>
      <c r="B32" s="171" t="s">
        <v>112</v>
      </c>
      <c r="C32" s="171" t="s">
        <v>113</v>
      </c>
      <c r="D32" s="158" t="s">
        <v>79</v>
      </c>
      <c r="E32" s="172" t="s">
        <v>19</v>
      </c>
      <c r="F32" s="183">
        <v>48000</v>
      </c>
    </row>
    <row r="33" spans="1:6" ht="20.100000000000001" customHeight="1" thickBot="1">
      <c r="A33" s="44"/>
      <c r="B33" s="22"/>
      <c r="C33" s="22">
        <f>+COUNTA(C29:C32)</f>
        <v>4</v>
      </c>
      <c r="D33" s="158"/>
      <c r="E33" s="45"/>
      <c r="F33" s="46">
        <f t="shared" ref="F33" si="3">SUM(F29:F32)</f>
        <v>258000</v>
      </c>
    </row>
    <row r="34" spans="1:6" s="71" customFormat="1" ht="20.100000000000001" customHeight="1" thickBot="1">
      <c r="A34" s="42"/>
      <c r="B34" s="42"/>
      <c r="C34" s="42"/>
      <c r="D34" s="158"/>
      <c r="E34" s="184"/>
      <c r="F34" s="185"/>
    </row>
    <row r="35" spans="1:6" ht="20.100000000000001" customHeight="1" thickBot="1">
      <c r="A35" s="68"/>
      <c r="B35" s="68" t="s">
        <v>121</v>
      </c>
      <c r="C35" s="69"/>
      <c r="D35" s="158"/>
      <c r="E35" s="70"/>
      <c r="F35" s="69"/>
    </row>
    <row r="36" spans="1:6" ht="20.100000000000001" customHeight="1" thickBot="1">
      <c r="A36" s="167" t="s">
        <v>479</v>
      </c>
      <c r="B36" s="89" t="s">
        <v>122</v>
      </c>
      <c r="C36" s="89" t="s">
        <v>30</v>
      </c>
      <c r="D36" s="158" t="s">
        <v>79</v>
      </c>
      <c r="E36" s="92" t="s">
        <v>31</v>
      </c>
      <c r="F36" s="91">
        <v>100000</v>
      </c>
    </row>
    <row r="37" spans="1:6" ht="20.100000000000001" customHeight="1" thickBot="1">
      <c r="A37" s="170" t="s">
        <v>480</v>
      </c>
      <c r="B37" s="171" t="s">
        <v>123</v>
      </c>
      <c r="C37" s="171" t="s">
        <v>124</v>
      </c>
      <c r="D37" s="158" t="s">
        <v>79</v>
      </c>
      <c r="E37" s="172" t="s">
        <v>19</v>
      </c>
      <c r="F37" s="173">
        <v>30000</v>
      </c>
    </row>
    <row r="38" spans="1:6" ht="20.100000000000001" customHeight="1" thickBot="1">
      <c r="A38" s="186"/>
      <c r="B38" s="44"/>
      <c r="C38" s="22">
        <f>+COUNTA(C36:C37)</f>
        <v>2</v>
      </c>
      <c r="D38" s="158" t="s">
        <v>79</v>
      </c>
      <c r="E38" s="45"/>
      <c r="F38" s="46">
        <f t="shared" ref="F38" si="4">SUM(F36:F37)</f>
        <v>130000</v>
      </c>
    </row>
    <row r="39" spans="1:6" ht="20.100000000000001" customHeight="1" thickBot="1">
      <c r="D39" s="158"/>
    </row>
    <row r="40" spans="1:6" ht="20.100000000000001" customHeight="1" thickBot="1">
      <c r="A40" s="68"/>
      <c r="B40" s="169" t="s">
        <v>481</v>
      </c>
      <c r="C40" s="69"/>
      <c r="D40" s="158" t="s">
        <v>79</v>
      </c>
      <c r="E40" s="70"/>
      <c r="F40" s="69"/>
    </row>
    <row r="41" spans="1:6" ht="20.100000000000001" customHeight="1" thickBot="1">
      <c r="A41" s="187" t="s">
        <v>482</v>
      </c>
      <c r="B41" s="171" t="s">
        <v>134</v>
      </c>
      <c r="C41" s="89" t="s">
        <v>30</v>
      </c>
      <c r="D41" s="158" t="s">
        <v>79</v>
      </c>
      <c r="E41" s="172" t="s">
        <v>19</v>
      </c>
      <c r="F41" s="173">
        <v>50000</v>
      </c>
    </row>
    <row r="42" spans="1:6" ht="20.100000000000001" customHeight="1" thickBot="1">
      <c r="A42" s="44"/>
      <c r="B42" s="22"/>
      <c r="C42" s="22">
        <f>+COUNTA(C41:C41)</f>
        <v>1</v>
      </c>
      <c r="D42" s="158" t="s">
        <v>79</v>
      </c>
      <c r="E42" s="46"/>
      <c r="F42" s="46">
        <f t="shared" ref="F42" si="5">SUM(F41)</f>
        <v>50000</v>
      </c>
    </row>
    <row r="43" spans="1:6" ht="20.100000000000001" customHeight="1" thickBot="1">
      <c r="A43" s="42"/>
      <c r="D43" s="158" t="s">
        <v>79</v>
      </c>
      <c r="E43" s="161"/>
    </row>
    <row r="44" spans="1:6" ht="20.100000000000001" customHeight="1" thickBot="1">
      <c r="A44" s="68"/>
      <c r="B44" s="68" t="s">
        <v>137</v>
      </c>
      <c r="C44" s="69"/>
      <c r="D44" s="158" t="s">
        <v>79</v>
      </c>
      <c r="E44" s="70"/>
      <c r="F44" s="69"/>
    </row>
    <row r="45" spans="1:6" ht="20.100000000000001" customHeight="1" thickBot="1">
      <c r="A45" s="174" t="s">
        <v>483</v>
      </c>
      <c r="B45" s="175" t="s">
        <v>138</v>
      </c>
      <c r="C45" s="175" t="s">
        <v>30</v>
      </c>
      <c r="D45" s="158" t="s">
        <v>79</v>
      </c>
      <c r="E45" s="176" t="s">
        <v>31</v>
      </c>
      <c r="F45" s="177">
        <v>110000</v>
      </c>
    </row>
    <row r="46" spans="1:6" ht="20.100000000000001" customHeight="1" thickBot="1">
      <c r="A46" s="44"/>
      <c r="B46" s="22"/>
      <c r="C46" s="22">
        <f>+COUNTA(C45:C45)</f>
        <v>1</v>
      </c>
      <c r="D46" s="158" t="s">
        <v>79</v>
      </c>
      <c r="E46" s="45"/>
      <c r="F46" s="46">
        <f t="shared" ref="F46" si="6">SUM(F45)</f>
        <v>110000</v>
      </c>
    </row>
    <row r="47" spans="1:6" s="71" customFormat="1" ht="20.100000000000001" customHeight="1" thickBot="1">
      <c r="A47" s="42"/>
      <c r="B47" s="42"/>
      <c r="C47" s="42"/>
      <c r="D47" s="158"/>
      <c r="E47" s="184"/>
      <c r="F47" s="185"/>
    </row>
    <row r="48" spans="1:6" s="71" customFormat="1" ht="20.100000000000001" customHeight="1" thickBot="1">
      <c r="A48" s="49"/>
      <c r="B48" s="49" t="s">
        <v>146</v>
      </c>
      <c r="C48" s="50"/>
      <c r="D48" s="158" t="s">
        <v>79</v>
      </c>
      <c r="E48" s="51"/>
      <c r="F48" s="50"/>
    </row>
    <row r="49" spans="1:6" s="71" customFormat="1" ht="20.100000000000001" customHeight="1" thickBot="1">
      <c r="A49" s="188" t="s">
        <v>147</v>
      </c>
      <c r="B49" s="103" t="s">
        <v>148</v>
      </c>
      <c r="C49" s="103" t="s">
        <v>149</v>
      </c>
      <c r="D49" s="158" t="s">
        <v>79</v>
      </c>
      <c r="E49" s="104" t="s">
        <v>19</v>
      </c>
      <c r="F49" s="189">
        <v>60000</v>
      </c>
    </row>
    <row r="50" spans="1:6" s="71" customFormat="1" ht="20.100000000000001" customHeight="1" thickBot="1">
      <c r="A50" s="44"/>
      <c r="B50" s="22"/>
      <c r="C50" s="22">
        <f>+COUNTA(C49:C49)</f>
        <v>1</v>
      </c>
      <c r="D50" s="158" t="s">
        <v>79</v>
      </c>
      <c r="E50" s="45"/>
      <c r="F50" s="46">
        <f t="shared" ref="F50" si="7">SUM(F49)</f>
        <v>60000</v>
      </c>
    </row>
    <row r="51" spans="1:6" s="71" customFormat="1" ht="20.100000000000001" customHeight="1" thickBot="1">
      <c r="A51" s="42"/>
      <c r="B51" s="42"/>
      <c r="C51" s="42"/>
      <c r="D51" s="158" t="s">
        <v>79</v>
      </c>
      <c r="E51" s="184"/>
      <c r="F51" s="185"/>
    </row>
    <row r="52" spans="1:6" ht="20.100000000000001" customHeight="1" thickBot="1">
      <c r="A52" s="68"/>
      <c r="B52" s="169" t="s">
        <v>162</v>
      </c>
      <c r="C52" s="69"/>
      <c r="D52" s="158" t="s">
        <v>79</v>
      </c>
      <c r="E52" s="70"/>
      <c r="F52" s="69"/>
    </row>
    <row r="53" spans="1:6" ht="20.100000000000001" customHeight="1" thickBot="1">
      <c r="A53" s="190" t="s">
        <v>163</v>
      </c>
      <c r="B53" s="171" t="s">
        <v>164</v>
      </c>
      <c r="C53" s="171" t="s">
        <v>30</v>
      </c>
      <c r="D53" s="158" t="s">
        <v>79</v>
      </c>
      <c r="E53" s="172" t="s">
        <v>31</v>
      </c>
      <c r="F53" s="173">
        <v>70000</v>
      </c>
    </row>
    <row r="54" spans="1:6" ht="20.100000000000001" customHeight="1" thickBot="1">
      <c r="A54" s="44"/>
      <c r="B54" s="22"/>
      <c r="C54" s="22">
        <f>+COUNTA(C52:C53)</f>
        <v>1</v>
      </c>
      <c r="D54" s="158" t="s">
        <v>79</v>
      </c>
      <c r="E54" s="45"/>
      <c r="F54" s="46">
        <f>SUM(F53)</f>
        <v>70000</v>
      </c>
    </row>
    <row r="55" spans="1:6" ht="20.100000000000001" customHeight="1" thickBot="1">
      <c r="A55" s="191"/>
      <c r="B55" s="191"/>
      <c r="C55" s="191"/>
      <c r="D55" s="158" t="s">
        <v>79</v>
      </c>
      <c r="E55" s="192"/>
      <c r="F55" s="193"/>
    </row>
    <row r="56" spans="1:6" ht="20.100000000000001" customHeight="1" thickBot="1">
      <c r="A56" s="68"/>
      <c r="B56" s="169" t="s">
        <v>169</v>
      </c>
      <c r="C56" s="69"/>
      <c r="D56" s="158" t="s">
        <v>79</v>
      </c>
      <c r="E56" s="70"/>
      <c r="F56" s="69"/>
    </row>
    <row r="57" spans="1:6" ht="20.100000000000001" customHeight="1" thickBot="1">
      <c r="A57" s="174" t="s">
        <v>170</v>
      </c>
      <c r="B57" s="175" t="s">
        <v>171</v>
      </c>
      <c r="C57" s="171" t="s">
        <v>30</v>
      </c>
      <c r="D57" s="158" t="s">
        <v>79</v>
      </c>
      <c r="E57" s="194" t="s">
        <v>31</v>
      </c>
      <c r="F57" s="177">
        <v>70000</v>
      </c>
    </row>
    <row r="58" spans="1:6" ht="20.100000000000001" customHeight="1" thickBot="1">
      <c r="A58" s="44"/>
      <c r="B58" s="22"/>
      <c r="C58" s="22">
        <f>+COUNTA(C56:C57)</f>
        <v>1</v>
      </c>
      <c r="D58" s="158" t="s">
        <v>79</v>
      </c>
      <c r="E58" s="45"/>
      <c r="F58" s="46">
        <f>SUM(F57)</f>
        <v>70000</v>
      </c>
    </row>
    <row r="59" spans="1:6" ht="20.100000000000001" customHeight="1" thickBot="1">
      <c r="A59" s="191"/>
      <c r="B59" s="191"/>
      <c r="C59" s="191"/>
      <c r="D59" s="158" t="s">
        <v>79</v>
      </c>
      <c r="E59" s="192"/>
      <c r="F59" s="193"/>
    </row>
    <row r="60" spans="1:6" ht="20.100000000000001" customHeight="1" thickBot="1">
      <c r="A60" s="68"/>
      <c r="B60" s="68" t="s">
        <v>484</v>
      </c>
      <c r="C60" s="69"/>
      <c r="D60" s="158" t="s">
        <v>79</v>
      </c>
      <c r="E60" s="70"/>
      <c r="F60" s="69"/>
    </row>
    <row r="61" spans="1:6" ht="20.100000000000001" customHeight="1" thickBot="1">
      <c r="A61" s="101" t="s">
        <v>226</v>
      </c>
      <c r="B61" s="89" t="s">
        <v>14</v>
      </c>
      <c r="C61" s="89" t="s">
        <v>227</v>
      </c>
      <c r="D61" s="158" t="s">
        <v>79</v>
      </c>
      <c r="E61" s="92" t="s">
        <v>19</v>
      </c>
      <c r="F61" s="91">
        <v>40000</v>
      </c>
    </row>
    <row r="62" spans="1:6" ht="20.100000000000001" customHeight="1" thickBot="1">
      <c r="A62" s="44"/>
      <c r="B62" s="22"/>
      <c r="C62" s="22">
        <f>+COUNTA(C57:C61)</f>
        <v>3</v>
      </c>
      <c r="D62" s="158" t="s">
        <v>79</v>
      </c>
      <c r="E62" s="45"/>
      <c r="F62" s="46">
        <f>SUM(F61)</f>
        <v>40000</v>
      </c>
    </row>
    <row r="63" spans="1:6" ht="20.100000000000001" customHeight="1" thickBot="1">
      <c r="A63" s="195"/>
      <c r="B63" s="196"/>
      <c r="C63" s="195"/>
      <c r="D63" s="158" t="s">
        <v>79</v>
      </c>
      <c r="E63" s="197"/>
      <c r="F63" s="198"/>
    </row>
    <row r="64" spans="1:6" ht="20.100000000000001" customHeight="1" thickBot="1">
      <c r="A64" s="68"/>
      <c r="B64" s="169" t="s">
        <v>485</v>
      </c>
      <c r="C64" s="69"/>
      <c r="D64" s="158" t="s">
        <v>79</v>
      </c>
      <c r="E64" s="70"/>
      <c r="F64" s="69"/>
    </row>
    <row r="65" spans="1:6" ht="20.100000000000001" customHeight="1" thickBot="1">
      <c r="A65" s="170" t="s">
        <v>320</v>
      </c>
      <c r="B65" s="171" t="s">
        <v>321</v>
      </c>
      <c r="C65" s="171" t="s">
        <v>322</v>
      </c>
      <c r="D65" s="158" t="s">
        <v>79</v>
      </c>
      <c r="E65" s="172" t="s">
        <v>19</v>
      </c>
      <c r="F65" s="173">
        <v>45000</v>
      </c>
    </row>
    <row r="66" spans="1:6" ht="20.100000000000001" customHeight="1" thickBot="1">
      <c r="A66" s="44"/>
      <c r="B66" s="22"/>
      <c r="C66" s="22">
        <f>+COUNTA(C64:C65)</f>
        <v>1</v>
      </c>
      <c r="D66" s="158" t="s">
        <v>79</v>
      </c>
      <c r="E66" s="45"/>
      <c r="F66" s="46">
        <f>+F65</f>
        <v>45000</v>
      </c>
    </row>
    <row r="67" spans="1:6" s="71" customFormat="1" ht="20.100000000000001" customHeight="1" thickBot="1">
      <c r="A67" s="42"/>
      <c r="B67" s="42"/>
      <c r="C67" s="42"/>
      <c r="D67" s="158" t="s">
        <v>79</v>
      </c>
      <c r="E67" s="184"/>
      <c r="F67" s="185"/>
    </row>
    <row r="68" spans="1:6" ht="20.100000000000001" customHeight="1" thickBot="1">
      <c r="A68" s="68"/>
      <c r="B68" s="169" t="s">
        <v>486</v>
      </c>
      <c r="C68" s="69"/>
      <c r="D68" s="158" t="s">
        <v>79</v>
      </c>
      <c r="E68" s="70"/>
      <c r="F68" s="69"/>
    </row>
    <row r="69" spans="1:6" ht="20.100000000000001" customHeight="1" thickBot="1">
      <c r="A69" s="170" t="s">
        <v>383</v>
      </c>
      <c r="B69" s="171" t="s">
        <v>384</v>
      </c>
      <c r="C69" s="171" t="s">
        <v>30</v>
      </c>
      <c r="D69" s="158" t="s">
        <v>79</v>
      </c>
      <c r="E69" s="172" t="s">
        <v>19</v>
      </c>
      <c r="F69" s="173">
        <v>40000</v>
      </c>
    </row>
    <row r="70" spans="1:6" ht="20.100000000000001" customHeight="1" thickBot="1">
      <c r="A70" s="44"/>
      <c r="B70" s="22"/>
      <c r="C70" s="22">
        <f>+COUNTA(C68:C69)</f>
        <v>1</v>
      </c>
      <c r="D70" s="158" t="s">
        <v>79</v>
      </c>
      <c r="E70" s="45"/>
      <c r="F70" s="46">
        <f>+F69</f>
        <v>40000</v>
      </c>
    </row>
    <row r="71" spans="1:6" s="71" customFormat="1" ht="20.100000000000001" customHeight="1" thickBot="1">
      <c r="A71" s="42"/>
      <c r="B71" s="42"/>
      <c r="C71" s="42"/>
      <c r="D71" s="158" t="s">
        <v>79</v>
      </c>
      <c r="E71" s="184"/>
      <c r="F71" s="185"/>
    </row>
    <row r="72" spans="1:6" s="71" customFormat="1" ht="20.100000000000001" customHeight="1" thickBot="1">
      <c r="A72" s="49"/>
      <c r="B72" s="49" t="s">
        <v>455</v>
      </c>
      <c r="C72" s="50"/>
      <c r="D72" s="158" t="s">
        <v>79</v>
      </c>
      <c r="E72" s="51"/>
      <c r="F72" s="50"/>
    </row>
    <row r="73" spans="1:6" s="71" customFormat="1" ht="20.100000000000001" customHeight="1" thickBot="1">
      <c r="A73" s="199" t="s">
        <v>456</v>
      </c>
      <c r="B73" s="9" t="s">
        <v>457</v>
      </c>
      <c r="C73" s="9" t="s">
        <v>458</v>
      </c>
      <c r="D73" s="158" t="s">
        <v>79</v>
      </c>
      <c r="E73" s="39" t="s">
        <v>19</v>
      </c>
      <c r="F73" s="10">
        <v>40000</v>
      </c>
    </row>
    <row r="74" spans="1:6" s="71" customFormat="1" ht="20.100000000000001" customHeight="1" thickBot="1">
      <c r="A74" s="44"/>
      <c r="B74" s="22"/>
      <c r="C74" s="22">
        <f>+COUNTA(C73:C73)</f>
        <v>1</v>
      </c>
      <c r="D74" s="158" t="s">
        <v>79</v>
      </c>
      <c r="E74" s="45"/>
      <c r="F74" s="46">
        <f t="shared" ref="F74" si="8">SUM(F73:F73)</f>
        <v>40000</v>
      </c>
    </row>
    <row r="75" spans="1:6" s="71" customFormat="1" ht="20.100000000000001" customHeight="1" thickBot="1">
      <c r="A75" s="42"/>
      <c r="B75" s="42"/>
      <c r="C75" s="42"/>
      <c r="D75" s="158" t="s">
        <v>79</v>
      </c>
      <c r="E75" s="184"/>
      <c r="F75" s="185"/>
    </row>
    <row r="76" spans="1:6" ht="20.100000000000001" customHeight="1" thickBot="1">
      <c r="A76" s="200"/>
      <c r="B76" s="200" t="s">
        <v>487</v>
      </c>
      <c r="C76" s="201"/>
      <c r="D76" s="158" t="s">
        <v>79</v>
      </c>
      <c r="E76" s="201"/>
      <c r="F76" s="201"/>
    </row>
    <row r="77" spans="1:6" ht="20.100000000000001" customHeight="1" thickBot="1">
      <c r="A77" s="174" t="s">
        <v>400</v>
      </c>
      <c r="B77" s="175" t="s">
        <v>401</v>
      </c>
      <c r="C77" s="175" t="s">
        <v>30</v>
      </c>
      <c r="D77" s="158" t="s">
        <v>79</v>
      </c>
      <c r="E77" s="176" t="s">
        <v>31</v>
      </c>
      <c r="F77" s="177">
        <v>100000</v>
      </c>
    </row>
    <row r="78" spans="1:6" ht="20.100000000000001" customHeight="1" thickBot="1">
      <c r="A78" s="202" t="s">
        <v>402</v>
      </c>
      <c r="B78" s="203" t="s">
        <v>403</v>
      </c>
      <c r="C78" s="204" t="s">
        <v>404</v>
      </c>
      <c r="D78" s="158" t="s">
        <v>79</v>
      </c>
      <c r="E78" s="205" t="s">
        <v>19</v>
      </c>
      <c r="F78" s="183">
        <v>50000</v>
      </c>
    </row>
    <row r="79" spans="1:6" ht="20.100000000000001" customHeight="1" thickBot="1">
      <c r="A79" s="44"/>
      <c r="B79" s="22"/>
      <c r="C79" s="22">
        <f>+COUNTA(C77:C78)</f>
        <v>2</v>
      </c>
      <c r="D79" s="158" t="s">
        <v>79</v>
      </c>
      <c r="E79" s="45"/>
      <c r="F79" s="46">
        <f t="shared" ref="F79" si="9">SUM(F77:F78)</f>
        <v>150000</v>
      </c>
    </row>
    <row r="80" spans="1:6" s="71" customFormat="1" ht="20.100000000000001" customHeight="1" thickBot="1">
      <c r="A80" s="42"/>
      <c r="B80" s="42"/>
      <c r="C80" s="42"/>
      <c r="D80" s="158" t="s">
        <v>79</v>
      </c>
      <c r="E80" s="184"/>
      <c r="F80" s="185"/>
    </row>
    <row r="81" spans="1:6" ht="20.100000000000001" customHeight="1" thickBot="1">
      <c r="A81" s="68"/>
      <c r="B81" s="68" t="s">
        <v>420</v>
      </c>
      <c r="C81" s="69"/>
      <c r="D81" s="158" t="s">
        <v>79</v>
      </c>
      <c r="E81" s="70"/>
      <c r="F81" s="69"/>
    </row>
    <row r="82" spans="1:6" ht="20.100000000000001" customHeight="1" thickBot="1">
      <c r="A82" s="206" t="s">
        <v>421</v>
      </c>
      <c r="B82" s="157" t="s">
        <v>422</v>
      </c>
      <c r="C82" s="157" t="s">
        <v>30</v>
      </c>
      <c r="D82" s="158" t="s">
        <v>79</v>
      </c>
      <c r="E82" s="180" t="s">
        <v>19</v>
      </c>
      <c r="F82" s="160">
        <v>35000</v>
      </c>
    </row>
    <row r="83" spans="1:6" ht="20.100000000000001" customHeight="1" thickBot="1">
      <c r="A83" s="101" t="s">
        <v>423</v>
      </c>
      <c r="B83" s="89" t="s">
        <v>424</v>
      </c>
      <c r="C83" s="89" t="s">
        <v>30</v>
      </c>
      <c r="D83" s="158" t="s">
        <v>79</v>
      </c>
      <c r="E83" s="92" t="s">
        <v>31</v>
      </c>
      <c r="F83" s="91">
        <v>35000</v>
      </c>
    </row>
    <row r="84" spans="1:6" ht="20.100000000000001" customHeight="1" thickBot="1">
      <c r="A84" s="44"/>
      <c r="B84" s="22"/>
      <c r="C84" s="22">
        <f>+COUNTA(C82:C83)</f>
        <v>2</v>
      </c>
      <c r="D84" s="22"/>
      <c r="E84" s="45"/>
      <c r="F84" s="46">
        <f>SUM(F82:F83)</f>
        <v>70000</v>
      </c>
    </row>
    <row r="88" spans="1:6" ht="20.100000000000001" customHeight="1">
      <c r="E88">
        <v>8</v>
      </c>
      <c r="F88" t="s">
        <v>488</v>
      </c>
    </row>
    <row r="89" spans="1:6" ht="20.100000000000001" customHeight="1">
      <c r="E89">
        <v>16</v>
      </c>
      <c r="F89" t="s">
        <v>19</v>
      </c>
    </row>
  </sheetData>
  <mergeCells count="3">
    <mergeCell ref="A2:F2"/>
    <mergeCell ref="A3:F3"/>
    <mergeCell ref="A4:F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Miosoty Díaz Pimentel</dc:creator>
  <cp:keywords/>
  <dc:description/>
  <cp:lastModifiedBy>Guest User</cp:lastModifiedBy>
  <cp:revision/>
  <dcterms:created xsi:type="dcterms:W3CDTF">2015-06-05T18:17:20Z</dcterms:created>
  <dcterms:modified xsi:type="dcterms:W3CDTF">2026-04-10T13:34:57Z</dcterms:modified>
  <cp:category/>
  <cp:contentStatus/>
</cp:coreProperties>
</file>